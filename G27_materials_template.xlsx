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戰備庫存總覽" sheetId="1" state="visible" r:id="rId1"/>
    <sheet name="製作需求" sheetId="2" state="visible" r:id="rId2"/>
    <sheet name="掉落紀錄" sheetId="3" state="visible" r:id="rId3"/>
    <sheet name="武器配方" sheetId="4" state="visible" r:id="rId4"/>
    <sheet name="成員主檔" sheetId="5" state="visible" r:id="rId5"/>
    <sheet name="材料主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  <color rgb="001D4ED8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B3261E"/>
      </font>
      <fill>
        <patternFill patternType="solid">
          <fgColor rgb="00FCE8E6"/>
        </patternFill>
      </fill>
    </dxf>
    <dxf>
      <font>
        <b val="1"/>
        <color rgb="001E8E3E"/>
      </font>
      <fill>
        <patternFill patternType="solid">
          <fgColor rgb="00E6F4EA"/>
        </patternFill>
      </fill>
    </dxf>
    <dxf>
      <fill>
        <patternFill patternType="solid">
          <fgColor rgb="00FEF3C7"/>
        </patternFill>
      </fill>
    </dxf>
    <dxf>
      <font>
        <b val="1"/>
      </font>
      <fill>
        <patternFill patternType="solid">
          <fgColor rgb="00BFDB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22" customWidth="1" min="5" max="5"/>
  </cols>
  <sheetData>
    <row r="1">
      <c r="A1" s="1" t="inlineStr">
        <is>
          <t>材料名稱</t>
        </is>
      </c>
      <c r="B1" s="1" t="inlineStr">
        <is>
          <t>團隊總需求</t>
        </is>
      </c>
      <c r="C1" s="1" t="inlineStr">
        <is>
          <t>目前總掉落</t>
        </is>
      </c>
      <c r="D1" s="1" t="inlineStr">
        <is>
          <t>剩餘缺口/溢出</t>
        </is>
      </c>
      <c r="E1" s="1" t="inlineStr">
        <is>
          <t>狀態</t>
        </is>
      </c>
    </row>
    <row r="2">
      <c r="A2" s="2" t="inlineStr">
        <is>
          <t>布里萊赫核心</t>
        </is>
      </c>
      <c r="B2">
        <f>IFERROR(VLOOKUP(A2,製作需求!$A:$H,8,FALSE),0)</f>
        <v/>
      </c>
      <c r="C2">
        <f>SUMIFS(掉落紀錄!E:E, 掉落紀錄!D:D, A2, 掉落紀錄!C:C, "是")</f>
        <v/>
      </c>
      <c r="D2">
        <f>C2-B2</f>
        <v/>
      </c>
      <c r="E2">
        <f>IF(B2=0,"無需求",IF(D2&gt;=0,"✅ 已達標 (多 "&amp;D2&amp;")","🔴 缺 "&amp;ABS(D2)))</f>
        <v/>
      </c>
    </row>
    <row r="3">
      <c r="A3" s="2" t="inlineStr">
        <is>
          <t>布里萊赫精髓</t>
        </is>
      </c>
      <c r="B3">
        <f>IFERROR(VLOOKUP(A3,製作需求!$A:$H,8,FALSE),0)</f>
        <v/>
      </c>
      <c r="C3">
        <f>SUMIFS(掉落紀錄!E:E, 掉落紀錄!D:D, A3, 掉落紀錄!C:C, "是")</f>
        <v/>
      </c>
      <c r="D3">
        <f>C3-B3</f>
        <v/>
      </c>
      <c r="E3">
        <f>IF(B3=0,"無需求",IF(D3&gt;=0,"✅ 已達標 (多 "&amp;D3&amp;")","🔴 缺 "&amp;ABS(D3)))</f>
        <v/>
      </c>
    </row>
    <row r="4">
      <c r="A4" s="2" t="inlineStr">
        <is>
          <t>橘光記憶碎片</t>
        </is>
      </c>
      <c r="B4">
        <f>IFERROR(VLOOKUP(A4,製作需求!$A:$H,8,FALSE),0)</f>
        <v/>
      </c>
      <c r="C4">
        <f>SUMIFS(掉落紀錄!E:E, 掉落紀錄!D:D, A4, 掉落紀錄!C:C, "是")</f>
        <v/>
      </c>
      <c r="D4">
        <f>C4-B4</f>
        <v/>
      </c>
      <c r="E4">
        <f>IF(B4=0,"無需求",IF(D4&gt;=0,"✅ 已達標 (多 "&amp;D4&amp;")","🔴 缺 "&amp;ABS(D4)))</f>
        <v/>
      </c>
    </row>
    <row r="5">
      <c r="A5" s="2" t="inlineStr">
        <is>
          <t>綠光記憶碎片</t>
        </is>
      </c>
      <c r="B5">
        <f>IFERROR(VLOOKUP(A5,製作需求!$A:$H,8,FALSE),0)</f>
        <v/>
      </c>
      <c r="C5">
        <f>SUMIFS(掉落紀錄!E:E, 掉落紀錄!D:D, A5, 掉落紀錄!C:C, "是")</f>
        <v/>
      </c>
      <c r="D5">
        <f>C5-B5</f>
        <v/>
      </c>
      <c r="E5">
        <f>IF(B5=0,"無需求",IF(D5&gt;=0,"✅ 已達標 (多 "&amp;D5&amp;")","🔴 缺 "&amp;ABS(D5)))</f>
        <v/>
      </c>
    </row>
    <row r="6">
      <c r="A6" s="2" t="inlineStr">
        <is>
          <t>黃光記憶碎片</t>
        </is>
      </c>
      <c r="B6">
        <f>IFERROR(VLOOKUP(A6,製作需求!$A:$H,8,FALSE),0)</f>
        <v/>
      </c>
      <c r="C6">
        <f>SUMIFS(掉落紀錄!E:E, 掉落紀錄!D:D, A6, 掉落紀錄!C:C, "是")</f>
        <v/>
      </c>
      <c r="D6">
        <f>C6-B6</f>
        <v/>
      </c>
      <c r="E6">
        <f>IF(B6=0,"無需求",IF(D6&gt;=0,"✅ 已達標 (多 "&amp;D6&amp;")","🔴 缺 "&amp;ABS(D6)))</f>
        <v/>
      </c>
    </row>
    <row r="7">
      <c r="A7" s="2" t="inlineStr">
        <is>
          <t>蘊含布里萊赫氣息的徽章</t>
        </is>
      </c>
      <c r="B7">
        <f>IFERROR(VLOOKUP(A7,製作需求!$A:$H,8,FALSE),0)</f>
        <v/>
      </c>
      <c r="C7">
        <f>SUMIFS(掉落紀錄!E:E, 掉落紀錄!D:D, A7, 掉落紀錄!C:C, "是")</f>
        <v/>
      </c>
      <c r="D7">
        <f>C7-B7</f>
        <v/>
      </c>
      <c r="E7">
        <f>IF(B7=0,"無需求",IF(D7&gt;=0,"✅ 已達標 (多 "&amp;D7&amp;")","🔴 缺 "&amp;ABS(D7)))</f>
        <v/>
      </c>
    </row>
    <row r="8">
      <c r="A8" s="2" t="inlineStr">
        <is>
          <t>鈍刃碎片</t>
        </is>
      </c>
      <c r="B8">
        <f>IFERROR(VLOOKUP(A8,製作需求!$A:$H,8,FALSE),0)</f>
        <v/>
      </c>
      <c r="C8">
        <f>SUMIFS(掉落紀錄!E:E, 掉落紀錄!D:D, A8, 掉落紀錄!C:C, "是")</f>
        <v/>
      </c>
      <c r="D8">
        <f>C8-B8</f>
        <v/>
      </c>
      <c r="E8">
        <f>IF(B8=0,"無需求",IF(D8&gt;=0,"✅ 已達標 (多 "&amp;D8&amp;")","🔴 缺 "&amp;ABS(D8)))</f>
        <v/>
      </c>
    </row>
    <row r="9">
      <c r="A9" s="2" t="inlineStr">
        <is>
          <t>柔軟的金屬碎片</t>
        </is>
      </c>
      <c r="B9">
        <f>IFERROR(VLOOKUP(A9,製作需求!$A:$H,8,FALSE),0)</f>
        <v/>
      </c>
      <c r="C9">
        <f>SUMIFS(掉落紀錄!E:E, 掉落紀錄!D:D, A9, 掉落紀錄!C:C, "是")</f>
        <v/>
      </c>
      <c r="D9">
        <f>C9-B9</f>
        <v/>
      </c>
      <c r="E9">
        <f>IF(B9=0,"無需求",IF(D9&gt;=0,"✅ 已達標 (多 "&amp;D9&amp;")","🔴 缺 "&amp;ABS(D9)))</f>
        <v/>
      </c>
    </row>
    <row r="10">
      <c r="A10" s="2" t="inlineStr">
        <is>
          <t>褪色的刺繡線</t>
        </is>
      </c>
      <c r="B10">
        <f>IFERROR(VLOOKUP(A10,製作需求!$A:$H,8,FALSE),0)</f>
        <v/>
      </c>
      <c r="C10">
        <f>SUMIFS(掉落紀錄!E:E, 掉落紀錄!D:D, A10, 掉落紀錄!C:C, "是")</f>
        <v/>
      </c>
      <c r="D10">
        <f>C10-B10</f>
        <v/>
      </c>
      <c r="E10">
        <f>IF(B10=0,"無需求",IF(D10&gt;=0,"✅ 已達標 (多 "&amp;D10&amp;")","🔴 缺 "&amp;ABS(D10)))</f>
        <v/>
      </c>
    </row>
    <row r="11">
      <c r="A11" s="2" t="inlineStr">
        <is>
          <t>空的魔力石</t>
        </is>
      </c>
      <c r="B11">
        <f>IFERROR(VLOOKUP(A11,製作需求!$A:$H,8,FALSE),0)</f>
        <v/>
      </c>
      <c r="C11">
        <f>SUMIFS(掉落紀錄!E:E, 掉落紀錄!D:D, A11, 掉落紀錄!C:C, "是")</f>
        <v/>
      </c>
      <c r="D11">
        <f>C11-B11</f>
        <v/>
      </c>
      <c r="E11">
        <f>IF(B11=0,"無需求",IF(D11&gt;=0,"✅ 已達標 (多 "&amp;D11&amp;")","🔴 缺 "&amp;ABS(D11)))</f>
        <v/>
      </c>
    </row>
    <row r="12">
      <c r="A12" s="2" t="inlineStr">
        <is>
          <t>霰石</t>
        </is>
      </c>
      <c r="B12">
        <f>IFERROR(VLOOKUP(A12,製作需求!$A:$H,8,FALSE),0)</f>
        <v/>
      </c>
      <c r="C12">
        <f>SUMIFS(掉落紀錄!E:E, 掉落紀錄!D:D, A12, 掉落紀錄!C:C, "是")</f>
        <v/>
      </c>
      <c r="D12">
        <f>C12-B12</f>
        <v/>
      </c>
      <c r="E12">
        <f>IF(B12=0,"無需求",IF(D12&gt;=0,"✅ 已達標 (多 "&amp;D12&amp;")","🔴 缺 "&amp;ABS(D12)))</f>
        <v/>
      </c>
    </row>
    <row r="13">
      <c r="A13" s="2" t="inlineStr">
        <is>
          <t>透輝石</t>
        </is>
      </c>
      <c r="B13">
        <f>IFERROR(VLOOKUP(A13,製作需求!$A:$H,8,FALSE),0)</f>
        <v/>
      </c>
      <c r="C13">
        <f>SUMIFS(掉落紀錄!E:E, 掉落紀錄!D:D, A13, 掉落紀錄!C:C, "是")</f>
        <v/>
      </c>
      <c r="D13">
        <f>C13-B13</f>
        <v/>
      </c>
      <c r="E13">
        <f>IF(B13=0,"無需求",IF(D13&gt;=0,"✅ 已達標 (多 "&amp;D13&amp;")","🔴 缺 "&amp;ABS(D13)))</f>
        <v/>
      </c>
    </row>
    <row r="14">
      <c r="A14" s="2" t="inlineStr">
        <is>
          <t>鵝卵石</t>
        </is>
      </c>
      <c r="B14">
        <f>IFERROR(VLOOKUP(A14,製作需求!$A:$H,8,FALSE),0)</f>
        <v/>
      </c>
      <c r="C14">
        <f>SUMIFS(掉落紀錄!E:E, 掉落紀錄!D:D, A14, 掉落紀錄!C:C, "是")</f>
        <v/>
      </c>
      <c r="D14">
        <f>C14-B14</f>
        <v/>
      </c>
      <c r="E14">
        <f>IF(B14=0,"無需求",IF(D14&gt;=0,"✅ 已達標 (多 "&amp;D14&amp;")","🔴 缺 "&amp;ABS(D14)))</f>
        <v/>
      </c>
    </row>
    <row r="15">
      <c r="A15" s="2" t="inlineStr">
        <is>
          <t>奧妙的金屬碎片</t>
        </is>
      </c>
      <c r="B15">
        <f>IFERROR(VLOOKUP(A15,製作需求!$A:$H,8,FALSE),0)</f>
        <v/>
      </c>
      <c r="C15">
        <f>SUMIFS(掉落紀錄!E:E, 掉落紀錄!D:D, A15, 掉落紀錄!C:C, "是")</f>
        <v/>
      </c>
      <c r="D15">
        <f>C15-B15</f>
        <v/>
      </c>
      <c r="E15">
        <f>IF(B15=0,"無需求",IF(D15&gt;=0,"✅ 已達標 (多 "&amp;D15&amp;")","🔴 缺 "&amp;ABS(D15)))</f>
        <v/>
      </c>
    </row>
    <row r="16">
      <c r="A16" s="2" t="inlineStr">
        <is>
          <t>奧妙的魔力石</t>
        </is>
      </c>
      <c r="B16">
        <f>IFERROR(VLOOKUP(A16,製作需求!$A:$H,8,FALSE),0)</f>
        <v/>
      </c>
      <c r="C16">
        <f>SUMIFS(掉落紀錄!E:E, 掉落紀錄!D:D, A16, 掉落紀錄!C:C, "是")</f>
        <v/>
      </c>
      <c r="D16">
        <f>C16-B16</f>
        <v/>
      </c>
      <c r="E16">
        <f>IF(B16=0,"無需求",IF(D16&gt;=0,"✅ 已達標 (多 "&amp;D16&amp;")","🔴 缺 "&amp;ABS(D16)))</f>
        <v/>
      </c>
    </row>
    <row r="17">
      <c r="A17" s="2" t="inlineStr">
        <is>
          <t>奧妙的皮革碎片</t>
        </is>
      </c>
      <c r="B17">
        <f>IFERROR(VLOOKUP(A17,製作需求!$A:$H,8,FALSE),0)</f>
        <v/>
      </c>
      <c r="C17">
        <f>SUMIFS(掉落紀錄!E:E, 掉落紀錄!D:D, A17, 掉落紀錄!C:C, "是")</f>
        <v/>
      </c>
      <c r="D17">
        <f>C17-B17</f>
        <v/>
      </c>
      <c r="E17">
        <f>IF(B17=0,"無需求",IF(D17&gt;=0,"✅ 已達標 (多 "&amp;D17&amp;")","🔴 缺 "&amp;ABS(D17)))</f>
        <v/>
      </c>
    </row>
    <row r="18">
      <c r="A18" s="2" t="inlineStr">
        <is>
          <t>高純度魔力結晶</t>
        </is>
      </c>
      <c r="B18">
        <f>IFERROR(VLOOKUP(A18,製作需求!$A:$H,8,FALSE),0)</f>
        <v/>
      </c>
      <c r="C18">
        <f>SUMIFS(掉落紀錄!E:E, 掉落紀錄!D:D, A18, 掉落紀錄!C:C, "是")</f>
        <v/>
      </c>
      <c r="D18">
        <f>C18-B18</f>
        <v/>
      </c>
      <c r="E18">
        <f>IF(B18=0,"無需求",IF(D18&gt;=0,"✅ 已達標 (多 "&amp;D18&amp;")","🔴 缺 "&amp;ABS(D18)))</f>
        <v/>
      </c>
    </row>
    <row r="19">
      <c r="A19" s="2" t="inlineStr">
        <is>
          <t>綠意盎然的刀刃碎片</t>
        </is>
      </c>
      <c r="B19">
        <f>IFERROR(VLOOKUP(A19,製作需求!$A:$H,8,FALSE),0)</f>
        <v/>
      </c>
      <c r="C19">
        <f>SUMIFS(掉落紀錄!E:E, 掉落紀錄!D:D, A19, 掉落紀錄!C:C, "是")</f>
        <v/>
      </c>
      <c r="D19">
        <f>C19-B19</f>
        <v/>
      </c>
      <c r="E19">
        <f>IF(B19=0,"無需求",IF(D19&gt;=0,"✅ 已達標 (多 "&amp;D19&amp;")","🔴 缺 "&amp;ABS(D19)))</f>
        <v/>
      </c>
    </row>
    <row r="20">
      <c r="A20" s="2" t="inlineStr">
        <is>
          <t>綠意盎然的金屬碎片</t>
        </is>
      </c>
      <c r="B20">
        <f>IFERROR(VLOOKUP(A20,製作需求!$A:$H,8,FALSE),0)</f>
        <v/>
      </c>
      <c r="C20">
        <f>SUMIFS(掉落紀錄!E:E, 掉落紀錄!D:D, A20, 掉落紀錄!C:C, "是")</f>
        <v/>
      </c>
      <c r="D20">
        <f>C20-B20</f>
        <v/>
      </c>
      <c r="E20">
        <f>IF(B20=0,"無需求",IF(D20&gt;=0,"✅ 已達標 (多 "&amp;D20&amp;")","🔴 缺 "&amp;ABS(D20)))</f>
        <v/>
      </c>
    </row>
    <row r="21">
      <c r="A21" s="2" t="inlineStr">
        <is>
          <t>綠意盎然的礦石碎片</t>
        </is>
      </c>
      <c r="B21">
        <f>IFERROR(VLOOKUP(A21,製作需求!$A:$H,8,FALSE),0)</f>
        <v/>
      </c>
      <c r="C21">
        <f>SUMIFS(掉落紀錄!E:E, 掉落紀錄!D:D, A21, 掉落紀錄!C:C, "是")</f>
        <v/>
      </c>
      <c r="D21">
        <f>C21-B21</f>
        <v/>
      </c>
      <c r="E21">
        <f>IF(B21=0,"無需求",IF(D21&gt;=0,"✅ 已達標 (多 "&amp;D21&amp;")","🔴 缺 "&amp;ABS(D21)))</f>
        <v/>
      </c>
    </row>
    <row r="22">
      <c r="A22" s="2" t="inlineStr">
        <is>
          <t>綠意盎然的木柴</t>
        </is>
      </c>
      <c r="B22">
        <f>IFERROR(VLOOKUP(A22,製作需求!$A:$H,8,FALSE),0)</f>
        <v/>
      </c>
      <c r="C22">
        <f>SUMIFS(掉落紀錄!E:E, 掉落紀錄!D:D, A22, 掉落紀錄!C:C, "是")</f>
        <v/>
      </c>
      <c r="D22">
        <f>C22-B22</f>
        <v/>
      </c>
      <c r="E22">
        <f>IF(B22=0,"無需求",IF(D22&gt;=0,"✅ 已達標 (多 "&amp;D22&amp;")","🔴 缺 "&amp;ABS(D22)))</f>
        <v/>
      </c>
    </row>
    <row r="23">
      <c r="A23" s="2" t="inlineStr">
        <is>
          <t>堅硬的稀原礦石碎片</t>
        </is>
      </c>
      <c r="B23">
        <f>IFERROR(VLOOKUP(A23,製作需求!$A:$H,8,FALSE),0)</f>
        <v/>
      </c>
      <c r="C23">
        <f>SUMIFS(掉落紀錄!E:E, 掉落紀錄!D:D, A23, 掉落紀錄!C:C, "是")</f>
        <v/>
      </c>
      <c r="D23">
        <f>C23-B23</f>
        <v/>
      </c>
      <c r="E23">
        <f>IF(B23=0,"無需求",IF(D23&gt;=0,"✅ 已達標 (多 "&amp;D23&amp;")","🔴 缺 "&amp;ABS(D23)))</f>
        <v/>
      </c>
    </row>
    <row r="24">
      <c r="A24" s="2" t="inlineStr">
        <is>
          <t>純白的皮革碎片</t>
        </is>
      </c>
      <c r="B24">
        <f>IFERROR(VLOOKUP(A24,製作需求!$A:$H,8,FALSE),0)</f>
        <v/>
      </c>
      <c r="C24">
        <f>SUMIFS(掉落紀錄!E:E, 掉落紀錄!D:D, A24, 掉落紀錄!C:C, "是")</f>
        <v/>
      </c>
      <c r="D24">
        <f>C24-B24</f>
        <v/>
      </c>
      <c r="E24">
        <f>IF(B24=0,"無需求",IF(D24&gt;=0,"✅ 已達標 (多 "&amp;D24&amp;")","🔴 缺 "&amp;ABS(D24)))</f>
        <v/>
      </c>
    </row>
    <row r="25">
      <c r="A25" s="2" t="inlineStr">
        <is>
          <t>純白的羽毛</t>
        </is>
      </c>
      <c r="B25">
        <f>IFERROR(VLOOKUP(A25,製作需求!$A:$H,8,FALSE),0)</f>
        <v/>
      </c>
      <c r="C25">
        <f>SUMIFS(掉落紀錄!E:E, 掉落紀錄!D:D, A25, 掉落紀錄!C:C, "是")</f>
        <v/>
      </c>
      <c r="D25">
        <f>C25-B25</f>
        <v/>
      </c>
      <c r="E25">
        <f>IF(B25=0,"無需求",IF(D25&gt;=0,"✅ 已達標 (多 "&amp;D25&amp;")","🔴 缺 "&amp;ABS(D25)))</f>
        <v/>
      </c>
    </row>
    <row r="26">
      <c r="A26" s="2" t="inlineStr">
        <is>
          <t>透明的鍊金術結晶</t>
        </is>
      </c>
      <c r="B26">
        <f>IFERROR(VLOOKUP(A26,製作需求!$A:$H,8,FALSE),0)</f>
        <v/>
      </c>
      <c r="C26">
        <f>SUMIFS(掉落紀錄!E:E, 掉落紀錄!D:D, A26, 掉落紀錄!C:C, "是")</f>
        <v/>
      </c>
      <c r="D26">
        <f>C26-B26</f>
        <v/>
      </c>
      <c r="E26">
        <f>IF(B26=0,"無需求",IF(D26&gt;=0,"✅ 已達標 (多 "&amp;D26&amp;")","🔴 缺 "&amp;ABS(D26)))</f>
        <v/>
      </c>
    </row>
    <row r="27">
      <c r="A27" s="2" t="inlineStr">
        <is>
          <t>綠意盎然的法師的寶石</t>
        </is>
      </c>
      <c r="B27">
        <f>IFERROR(VLOOKUP(A27,製作需求!$A:$H,8,FALSE),0)</f>
        <v/>
      </c>
      <c r="C27">
        <f>SUMIFS(掉落紀錄!E:E, 掉落紀錄!D:D, A27, 掉落紀錄!C:C, "是")</f>
        <v/>
      </c>
      <c r="D27">
        <f>C27-B27</f>
        <v/>
      </c>
      <c r="E27">
        <f>IF(B27=0,"無需求",IF(D27&gt;=0,"✅ 已達標 (多 "&amp;D27&amp;")","🔴 缺 "&amp;ABS(D27)))</f>
        <v/>
      </c>
    </row>
    <row r="28">
      <c r="A28" s="2" t="inlineStr">
        <is>
          <t>堅硬的狼牙</t>
        </is>
      </c>
      <c r="B28">
        <f>IFERROR(VLOOKUP(A28,製作需求!$A:$H,8,FALSE),0)</f>
        <v/>
      </c>
      <c r="C28">
        <f>SUMIFS(掉落紀錄!E:E, 掉落紀錄!D:D, A28, 掉落紀錄!C:C, "是")</f>
        <v/>
      </c>
      <c r="D28">
        <f>C28-B28</f>
        <v/>
      </c>
      <c r="E28">
        <f>IF(B28=0,"無需求",IF(D28&gt;=0,"✅ 已達標 (多 "&amp;D28&amp;")","🔴 缺 "&amp;ABS(D28)))</f>
        <v/>
      </c>
    </row>
    <row r="29">
      <c r="A29" s="2" t="inlineStr">
        <is>
          <t>魔力石</t>
        </is>
      </c>
      <c r="B29">
        <f>IFERROR(VLOOKUP(A29,製作需求!$A:$H,8,FALSE),0)</f>
        <v/>
      </c>
      <c r="C29">
        <f>SUMIFS(掉落紀錄!E:E, 掉落紀錄!D:D, A29, 掉落紀錄!C:C, "是")</f>
        <v/>
      </c>
      <c r="D29">
        <f>C29-B29</f>
        <v/>
      </c>
      <c r="E29">
        <f>IF(B29=0,"無需求",IF(D29&gt;=0,"✅ 已達標 (多 "&amp;D29&amp;")","🔴 缺 "&amp;ABS(D29)))</f>
        <v/>
      </c>
    </row>
  </sheetData>
  <conditionalFormatting sqref="D2:D2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 ht="26" customHeight="1">
      <c r="A1" s="1" t="inlineStr"/>
      <c r="B1" s="1" t="inlineStr">
        <is>
          <t>破鳥</t>
        </is>
      </c>
      <c r="C1" s="1" t="inlineStr">
        <is>
          <t>大佐</t>
        </is>
      </c>
      <c r="D1" s="1" t="inlineStr">
        <is>
          <t>魔頭</t>
        </is>
      </c>
      <c r="E1" s="1" t="inlineStr">
        <is>
          <t>殘血</t>
        </is>
      </c>
      <c r="F1" s="1" t="inlineStr">
        <is>
          <t>小羊</t>
        </is>
      </c>
      <c r="G1" s="1" t="inlineStr">
        <is>
          <t>夏目</t>
        </is>
      </c>
      <c r="H1" s="1" t="inlineStr">
        <is>
          <t>合計</t>
        </is>
      </c>
    </row>
    <row r="2" ht="30" customHeight="1">
      <c r="A2" s="3" t="inlineStr">
        <is>
          <t>武器選擇</t>
        </is>
      </c>
      <c r="B2" s="4" t="inlineStr">
        <is>
          <t>不製作</t>
        </is>
      </c>
      <c r="C2" s="4" t="inlineStr">
        <is>
          <t>不製作</t>
        </is>
      </c>
      <c r="D2" s="4" t="inlineStr">
        <is>
          <t>不製作</t>
        </is>
      </c>
      <c r="E2" s="4" t="inlineStr">
        <is>
          <t>不製作</t>
        </is>
      </c>
      <c r="F2" s="4" t="inlineStr">
        <is>
          <t>不製作</t>
        </is>
      </c>
      <c r="G2" s="4" t="inlineStr">
        <is>
          <t>不製作</t>
        </is>
      </c>
      <c r="H2" s="5" t="inlineStr"/>
    </row>
    <row r="3">
      <c r="A3" s="6" t="inlineStr">
        <is>
          <t>布里萊赫核心</t>
        </is>
      </c>
      <c r="B3" s="7">
        <f>IFERROR(INDEX(武器配方!$B$2:$AC$31,MATCH(B$2,武器配方!$A$2:$A$31,0),MATCH($A3,武器配方!$B$1:$AC$1,0)),0)</f>
        <v/>
      </c>
      <c r="C3" s="7">
        <f>IFERROR(INDEX(武器配方!$B$2:$AC$31,MATCH(C$2,武器配方!$A$2:$A$31,0),MATCH($A3,武器配方!$B$1:$AC$1,0)),0)</f>
        <v/>
      </c>
      <c r="D3" s="7">
        <f>IFERROR(INDEX(武器配方!$B$2:$AC$31,MATCH(D$2,武器配方!$A$2:$A$31,0),MATCH($A3,武器配方!$B$1:$AC$1,0)),0)</f>
        <v/>
      </c>
      <c r="E3" s="7">
        <f>IFERROR(INDEX(武器配方!$B$2:$AC$31,MATCH(E$2,武器配方!$A$2:$A$31,0),MATCH($A3,武器配方!$B$1:$AC$1,0)),0)</f>
        <v/>
      </c>
      <c r="F3" s="7">
        <f>IFERROR(INDEX(武器配方!$B$2:$AC$31,MATCH(F$2,武器配方!$A$2:$A$31,0),MATCH($A3,武器配方!$B$1:$AC$1,0)),0)</f>
        <v/>
      </c>
      <c r="G3" s="7">
        <f>IFERROR(INDEX(武器配方!$B$2:$AC$31,MATCH(G$2,武器配方!$A$2:$A$31,0),MATCH($A3,武器配方!$B$1:$AC$1,0)),0)</f>
        <v/>
      </c>
      <c r="H3" s="8">
        <f>SUM(B3:G3)</f>
        <v/>
      </c>
    </row>
    <row r="4">
      <c r="A4" s="6" t="inlineStr">
        <is>
          <t>布里萊赫精髓</t>
        </is>
      </c>
      <c r="B4" s="7">
        <f>IFERROR(INDEX(武器配方!$B$2:$AC$31,MATCH(B$2,武器配方!$A$2:$A$31,0),MATCH($A4,武器配方!$B$1:$AC$1,0)),0)</f>
        <v/>
      </c>
      <c r="C4" s="7">
        <f>IFERROR(INDEX(武器配方!$B$2:$AC$31,MATCH(C$2,武器配方!$A$2:$A$31,0),MATCH($A4,武器配方!$B$1:$AC$1,0)),0)</f>
        <v/>
      </c>
      <c r="D4" s="7">
        <f>IFERROR(INDEX(武器配方!$B$2:$AC$31,MATCH(D$2,武器配方!$A$2:$A$31,0),MATCH($A4,武器配方!$B$1:$AC$1,0)),0)</f>
        <v/>
      </c>
      <c r="E4" s="7">
        <f>IFERROR(INDEX(武器配方!$B$2:$AC$31,MATCH(E$2,武器配方!$A$2:$A$31,0),MATCH($A4,武器配方!$B$1:$AC$1,0)),0)</f>
        <v/>
      </c>
      <c r="F4" s="7">
        <f>IFERROR(INDEX(武器配方!$B$2:$AC$31,MATCH(F$2,武器配方!$A$2:$A$31,0),MATCH($A4,武器配方!$B$1:$AC$1,0)),0)</f>
        <v/>
      </c>
      <c r="G4" s="7">
        <f>IFERROR(INDEX(武器配方!$B$2:$AC$31,MATCH(G$2,武器配方!$A$2:$A$31,0),MATCH($A4,武器配方!$B$1:$AC$1,0)),0)</f>
        <v/>
      </c>
      <c r="H4" s="8">
        <f>SUM(B4:G4)</f>
        <v/>
      </c>
    </row>
    <row r="5">
      <c r="A5" s="6" t="inlineStr">
        <is>
          <t>橘光記憶碎片</t>
        </is>
      </c>
      <c r="B5" s="7">
        <f>IFERROR(INDEX(武器配方!$B$2:$AC$31,MATCH(B$2,武器配方!$A$2:$A$31,0),MATCH($A5,武器配方!$B$1:$AC$1,0)),0)</f>
        <v/>
      </c>
      <c r="C5" s="7">
        <f>IFERROR(INDEX(武器配方!$B$2:$AC$31,MATCH(C$2,武器配方!$A$2:$A$31,0),MATCH($A5,武器配方!$B$1:$AC$1,0)),0)</f>
        <v/>
      </c>
      <c r="D5" s="7">
        <f>IFERROR(INDEX(武器配方!$B$2:$AC$31,MATCH(D$2,武器配方!$A$2:$A$31,0),MATCH($A5,武器配方!$B$1:$AC$1,0)),0)</f>
        <v/>
      </c>
      <c r="E5" s="7">
        <f>IFERROR(INDEX(武器配方!$B$2:$AC$31,MATCH(E$2,武器配方!$A$2:$A$31,0),MATCH($A5,武器配方!$B$1:$AC$1,0)),0)</f>
        <v/>
      </c>
      <c r="F5" s="7">
        <f>IFERROR(INDEX(武器配方!$B$2:$AC$31,MATCH(F$2,武器配方!$A$2:$A$31,0),MATCH($A5,武器配方!$B$1:$AC$1,0)),0)</f>
        <v/>
      </c>
      <c r="G5" s="7">
        <f>IFERROR(INDEX(武器配方!$B$2:$AC$31,MATCH(G$2,武器配方!$A$2:$A$31,0),MATCH($A5,武器配方!$B$1:$AC$1,0)),0)</f>
        <v/>
      </c>
      <c r="H5" s="8">
        <f>SUM(B5:G5)</f>
        <v/>
      </c>
    </row>
    <row r="6">
      <c r="A6" s="6" t="inlineStr">
        <is>
          <t>綠光記憶碎片</t>
        </is>
      </c>
      <c r="B6" s="7">
        <f>IFERROR(INDEX(武器配方!$B$2:$AC$31,MATCH(B$2,武器配方!$A$2:$A$31,0),MATCH($A6,武器配方!$B$1:$AC$1,0)),0)</f>
        <v/>
      </c>
      <c r="C6" s="7">
        <f>IFERROR(INDEX(武器配方!$B$2:$AC$31,MATCH(C$2,武器配方!$A$2:$A$31,0),MATCH($A6,武器配方!$B$1:$AC$1,0)),0)</f>
        <v/>
      </c>
      <c r="D6" s="7">
        <f>IFERROR(INDEX(武器配方!$B$2:$AC$31,MATCH(D$2,武器配方!$A$2:$A$31,0),MATCH($A6,武器配方!$B$1:$AC$1,0)),0)</f>
        <v/>
      </c>
      <c r="E6" s="7">
        <f>IFERROR(INDEX(武器配方!$B$2:$AC$31,MATCH(E$2,武器配方!$A$2:$A$31,0),MATCH($A6,武器配方!$B$1:$AC$1,0)),0)</f>
        <v/>
      </c>
      <c r="F6" s="7">
        <f>IFERROR(INDEX(武器配方!$B$2:$AC$31,MATCH(F$2,武器配方!$A$2:$A$31,0),MATCH($A6,武器配方!$B$1:$AC$1,0)),0)</f>
        <v/>
      </c>
      <c r="G6" s="7">
        <f>IFERROR(INDEX(武器配方!$B$2:$AC$31,MATCH(G$2,武器配方!$A$2:$A$31,0),MATCH($A6,武器配方!$B$1:$AC$1,0)),0)</f>
        <v/>
      </c>
      <c r="H6" s="8">
        <f>SUM(B6:G6)</f>
        <v/>
      </c>
    </row>
    <row r="7">
      <c r="A7" s="6" t="inlineStr">
        <is>
          <t>黃光記憶碎片</t>
        </is>
      </c>
      <c r="B7" s="7">
        <f>IFERROR(INDEX(武器配方!$B$2:$AC$31,MATCH(B$2,武器配方!$A$2:$A$31,0),MATCH($A7,武器配方!$B$1:$AC$1,0)),0)</f>
        <v/>
      </c>
      <c r="C7" s="7">
        <f>IFERROR(INDEX(武器配方!$B$2:$AC$31,MATCH(C$2,武器配方!$A$2:$A$31,0),MATCH($A7,武器配方!$B$1:$AC$1,0)),0)</f>
        <v/>
      </c>
      <c r="D7" s="7">
        <f>IFERROR(INDEX(武器配方!$B$2:$AC$31,MATCH(D$2,武器配方!$A$2:$A$31,0),MATCH($A7,武器配方!$B$1:$AC$1,0)),0)</f>
        <v/>
      </c>
      <c r="E7" s="7">
        <f>IFERROR(INDEX(武器配方!$B$2:$AC$31,MATCH(E$2,武器配方!$A$2:$A$31,0),MATCH($A7,武器配方!$B$1:$AC$1,0)),0)</f>
        <v/>
      </c>
      <c r="F7" s="7">
        <f>IFERROR(INDEX(武器配方!$B$2:$AC$31,MATCH(F$2,武器配方!$A$2:$A$31,0),MATCH($A7,武器配方!$B$1:$AC$1,0)),0)</f>
        <v/>
      </c>
      <c r="G7" s="7">
        <f>IFERROR(INDEX(武器配方!$B$2:$AC$31,MATCH(G$2,武器配方!$A$2:$A$31,0),MATCH($A7,武器配方!$B$1:$AC$1,0)),0)</f>
        <v/>
      </c>
      <c r="H7" s="8">
        <f>SUM(B7:G7)</f>
        <v/>
      </c>
    </row>
    <row r="8">
      <c r="A8" s="6" t="inlineStr">
        <is>
          <t>蘊含布里萊赫氣息的徽章</t>
        </is>
      </c>
      <c r="B8" s="7">
        <f>IFERROR(INDEX(武器配方!$B$2:$AC$31,MATCH(B$2,武器配方!$A$2:$A$31,0),MATCH($A8,武器配方!$B$1:$AC$1,0)),0)</f>
        <v/>
      </c>
      <c r="C8" s="7">
        <f>IFERROR(INDEX(武器配方!$B$2:$AC$31,MATCH(C$2,武器配方!$A$2:$A$31,0),MATCH($A8,武器配方!$B$1:$AC$1,0)),0)</f>
        <v/>
      </c>
      <c r="D8" s="7">
        <f>IFERROR(INDEX(武器配方!$B$2:$AC$31,MATCH(D$2,武器配方!$A$2:$A$31,0),MATCH($A8,武器配方!$B$1:$AC$1,0)),0)</f>
        <v/>
      </c>
      <c r="E8" s="7">
        <f>IFERROR(INDEX(武器配方!$B$2:$AC$31,MATCH(E$2,武器配方!$A$2:$A$31,0),MATCH($A8,武器配方!$B$1:$AC$1,0)),0)</f>
        <v/>
      </c>
      <c r="F8" s="7">
        <f>IFERROR(INDEX(武器配方!$B$2:$AC$31,MATCH(F$2,武器配方!$A$2:$A$31,0),MATCH($A8,武器配方!$B$1:$AC$1,0)),0)</f>
        <v/>
      </c>
      <c r="G8" s="7">
        <f>IFERROR(INDEX(武器配方!$B$2:$AC$31,MATCH(G$2,武器配方!$A$2:$A$31,0),MATCH($A8,武器配方!$B$1:$AC$1,0)),0)</f>
        <v/>
      </c>
      <c r="H8" s="8">
        <f>SUM(B8:G8)</f>
        <v/>
      </c>
    </row>
    <row r="9">
      <c r="A9" s="6" t="inlineStr">
        <is>
          <t>鈍刃碎片</t>
        </is>
      </c>
      <c r="B9" s="7">
        <f>IFERROR(INDEX(武器配方!$B$2:$AC$31,MATCH(B$2,武器配方!$A$2:$A$31,0),MATCH($A9,武器配方!$B$1:$AC$1,0)),0)</f>
        <v/>
      </c>
      <c r="C9" s="7">
        <f>IFERROR(INDEX(武器配方!$B$2:$AC$31,MATCH(C$2,武器配方!$A$2:$A$31,0),MATCH($A9,武器配方!$B$1:$AC$1,0)),0)</f>
        <v/>
      </c>
      <c r="D9" s="7">
        <f>IFERROR(INDEX(武器配方!$B$2:$AC$31,MATCH(D$2,武器配方!$A$2:$A$31,0),MATCH($A9,武器配方!$B$1:$AC$1,0)),0)</f>
        <v/>
      </c>
      <c r="E9" s="7">
        <f>IFERROR(INDEX(武器配方!$B$2:$AC$31,MATCH(E$2,武器配方!$A$2:$A$31,0),MATCH($A9,武器配方!$B$1:$AC$1,0)),0)</f>
        <v/>
      </c>
      <c r="F9" s="7">
        <f>IFERROR(INDEX(武器配方!$B$2:$AC$31,MATCH(F$2,武器配方!$A$2:$A$31,0),MATCH($A9,武器配方!$B$1:$AC$1,0)),0)</f>
        <v/>
      </c>
      <c r="G9" s="7">
        <f>IFERROR(INDEX(武器配方!$B$2:$AC$31,MATCH(G$2,武器配方!$A$2:$A$31,0),MATCH($A9,武器配方!$B$1:$AC$1,0)),0)</f>
        <v/>
      </c>
      <c r="H9" s="8">
        <f>SUM(B9:G9)</f>
        <v/>
      </c>
    </row>
    <row r="10">
      <c r="A10" s="6" t="inlineStr">
        <is>
          <t>柔軟的金屬碎片</t>
        </is>
      </c>
      <c r="B10" s="7">
        <f>IFERROR(INDEX(武器配方!$B$2:$AC$31,MATCH(B$2,武器配方!$A$2:$A$31,0),MATCH($A10,武器配方!$B$1:$AC$1,0)),0)</f>
        <v/>
      </c>
      <c r="C10" s="7">
        <f>IFERROR(INDEX(武器配方!$B$2:$AC$31,MATCH(C$2,武器配方!$A$2:$A$31,0),MATCH($A10,武器配方!$B$1:$AC$1,0)),0)</f>
        <v/>
      </c>
      <c r="D10" s="7">
        <f>IFERROR(INDEX(武器配方!$B$2:$AC$31,MATCH(D$2,武器配方!$A$2:$A$31,0),MATCH($A10,武器配方!$B$1:$AC$1,0)),0)</f>
        <v/>
      </c>
      <c r="E10" s="7">
        <f>IFERROR(INDEX(武器配方!$B$2:$AC$31,MATCH(E$2,武器配方!$A$2:$A$31,0),MATCH($A10,武器配方!$B$1:$AC$1,0)),0)</f>
        <v/>
      </c>
      <c r="F10" s="7">
        <f>IFERROR(INDEX(武器配方!$B$2:$AC$31,MATCH(F$2,武器配方!$A$2:$A$31,0),MATCH($A10,武器配方!$B$1:$AC$1,0)),0)</f>
        <v/>
      </c>
      <c r="G10" s="7">
        <f>IFERROR(INDEX(武器配方!$B$2:$AC$31,MATCH(G$2,武器配方!$A$2:$A$31,0),MATCH($A10,武器配方!$B$1:$AC$1,0)),0)</f>
        <v/>
      </c>
      <c r="H10" s="8">
        <f>SUM(B10:G10)</f>
        <v/>
      </c>
    </row>
    <row r="11">
      <c r="A11" s="6" t="inlineStr">
        <is>
          <t>褪色的刺繡線</t>
        </is>
      </c>
      <c r="B11" s="7">
        <f>IFERROR(INDEX(武器配方!$B$2:$AC$31,MATCH(B$2,武器配方!$A$2:$A$31,0),MATCH($A11,武器配方!$B$1:$AC$1,0)),0)</f>
        <v/>
      </c>
      <c r="C11" s="7">
        <f>IFERROR(INDEX(武器配方!$B$2:$AC$31,MATCH(C$2,武器配方!$A$2:$A$31,0),MATCH($A11,武器配方!$B$1:$AC$1,0)),0)</f>
        <v/>
      </c>
      <c r="D11" s="7">
        <f>IFERROR(INDEX(武器配方!$B$2:$AC$31,MATCH(D$2,武器配方!$A$2:$A$31,0),MATCH($A11,武器配方!$B$1:$AC$1,0)),0)</f>
        <v/>
      </c>
      <c r="E11" s="7">
        <f>IFERROR(INDEX(武器配方!$B$2:$AC$31,MATCH(E$2,武器配方!$A$2:$A$31,0),MATCH($A11,武器配方!$B$1:$AC$1,0)),0)</f>
        <v/>
      </c>
      <c r="F11" s="7">
        <f>IFERROR(INDEX(武器配方!$B$2:$AC$31,MATCH(F$2,武器配方!$A$2:$A$31,0),MATCH($A11,武器配方!$B$1:$AC$1,0)),0)</f>
        <v/>
      </c>
      <c r="G11" s="7">
        <f>IFERROR(INDEX(武器配方!$B$2:$AC$31,MATCH(G$2,武器配方!$A$2:$A$31,0),MATCH($A11,武器配方!$B$1:$AC$1,0)),0)</f>
        <v/>
      </c>
      <c r="H11" s="8">
        <f>SUM(B11:G11)</f>
        <v/>
      </c>
    </row>
    <row r="12">
      <c r="A12" s="6" t="inlineStr">
        <is>
          <t>空的魔力石</t>
        </is>
      </c>
      <c r="B12" s="7">
        <f>IFERROR(INDEX(武器配方!$B$2:$AC$31,MATCH(B$2,武器配方!$A$2:$A$31,0),MATCH($A12,武器配方!$B$1:$AC$1,0)),0)</f>
        <v/>
      </c>
      <c r="C12" s="7">
        <f>IFERROR(INDEX(武器配方!$B$2:$AC$31,MATCH(C$2,武器配方!$A$2:$A$31,0),MATCH($A12,武器配方!$B$1:$AC$1,0)),0)</f>
        <v/>
      </c>
      <c r="D12" s="7">
        <f>IFERROR(INDEX(武器配方!$B$2:$AC$31,MATCH(D$2,武器配方!$A$2:$A$31,0),MATCH($A12,武器配方!$B$1:$AC$1,0)),0)</f>
        <v/>
      </c>
      <c r="E12" s="7">
        <f>IFERROR(INDEX(武器配方!$B$2:$AC$31,MATCH(E$2,武器配方!$A$2:$A$31,0),MATCH($A12,武器配方!$B$1:$AC$1,0)),0)</f>
        <v/>
      </c>
      <c r="F12" s="7">
        <f>IFERROR(INDEX(武器配方!$B$2:$AC$31,MATCH(F$2,武器配方!$A$2:$A$31,0),MATCH($A12,武器配方!$B$1:$AC$1,0)),0)</f>
        <v/>
      </c>
      <c r="G12" s="7">
        <f>IFERROR(INDEX(武器配方!$B$2:$AC$31,MATCH(G$2,武器配方!$A$2:$A$31,0),MATCH($A12,武器配方!$B$1:$AC$1,0)),0)</f>
        <v/>
      </c>
      <c r="H12" s="8">
        <f>SUM(B12:G12)</f>
        <v/>
      </c>
    </row>
    <row r="13">
      <c r="A13" s="6" t="inlineStr">
        <is>
          <t>霰石</t>
        </is>
      </c>
      <c r="B13" s="7">
        <f>IFERROR(INDEX(武器配方!$B$2:$AC$31,MATCH(B$2,武器配方!$A$2:$A$31,0),MATCH($A13,武器配方!$B$1:$AC$1,0)),0)</f>
        <v/>
      </c>
      <c r="C13" s="7">
        <f>IFERROR(INDEX(武器配方!$B$2:$AC$31,MATCH(C$2,武器配方!$A$2:$A$31,0),MATCH($A13,武器配方!$B$1:$AC$1,0)),0)</f>
        <v/>
      </c>
      <c r="D13" s="7">
        <f>IFERROR(INDEX(武器配方!$B$2:$AC$31,MATCH(D$2,武器配方!$A$2:$A$31,0),MATCH($A13,武器配方!$B$1:$AC$1,0)),0)</f>
        <v/>
      </c>
      <c r="E13" s="7">
        <f>IFERROR(INDEX(武器配方!$B$2:$AC$31,MATCH(E$2,武器配方!$A$2:$A$31,0),MATCH($A13,武器配方!$B$1:$AC$1,0)),0)</f>
        <v/>
      </c>
      <c r="F13" s="7">
        <f>IFERROR(INDEX(武器配方!$B$2:$AC$31,MATCH(F$2,武器配方!$A$2:$A$31,0),MATCH($A13,武器配方!$B$1:$AC$1,0)),0)</f>
        <v/>
      </c>
      <c r="G13" s="7">
        <f>IFERROR(INDEX(武器配方!$B$2:$AC$31,MATCH(G$2,武器配方!$A$2:$A$31,0),MATCH($A13,武器配方!$B$1:$AC$1,0)),0)</f>
        <v/>
      </c>
      <c r="H13" s="8">
        <f>SUM(B13:G13)</f>
        <v/>
      </c>
    </row>
    <row r="14">
      <c r="A14" s="6" t="inlineStr">
        <is>
          <t>透輝石</t>
        </is>
      </c>
      <c r="B14" s="7">
        <f>IFERROR(INDEX(武器配方!$B$2:$AC$31,MATCH(B$2,武器配方!$A$2:$A$31,0),MATCH($A14,武器配方!$B$1:$AC$1,0)),0)</f>
        <v/>
      </c>
      <c r="C14" s="7">
        <f>IFERROR(INDEX(武器配方!$B$2:$AC$31,MATCH(C$2,武器配方!$A$2:$A$31,0),MATCH($A14,武器配方!$B$1:$AC$1,0)),0)</f>
        <v/>
      </c>
      <c r="D14" s="7">
        <f>IFERROR(INDEX(武器配方!$B$2:$AC$31,MATCH(D$2,武器配方!$A$2:$A$31,0),MATCH($A14,武器配方!$B$1:$AC$1,0)),0)</f>
        <v/>
      </c>
      <c r="E14" s="7">
        <f>IFERROR(INDEX(武器配方!$B$2:$AC$31,MATCH(E$2,武器配方!$A$2:$A$31,0),MATCH($A14,武器配方!$B$1:$AC$1,0)),0)</f>
        <v/>
      </c>
      <c r="F14" s="7">
        <f>IFERROR(INDEX(武器配方!$B$2:$AC$31,MATCH(F$2,武器配方!$A$2:$A$31,0),MATCH($A14,武器配方!$B$1:$AC$1,0)),0)</f>
        <v/>
      </c>
      <c r="G14" s="7">
        <f>IFERROR(INDEX(武器配方!$B$2:$AC$31,MATCH(G$2,武器配方!$A$2:$A$31,0),MATCH($A14,武器配方!$B$1:$AC$1,0)),0)</f>
        <v/>
      </c>
      <c r="H14" s="8">
        <f>SUM(B14:G14)</f>
        <v/>
      </c>
    </row>
    <row r="15">
      <c r="A15" s="6" t="inlineStr">
        <is>
          <t>鵝卵石</t>
        </is>
      </c>
      <c r="B15" s="7">
        <f>IFERROR(INDEX(武器配方!$B$2:$AC$31,MATCH(B$2,武器配方!$A$2:$A$31,0),MATCH($A15,武器配方!$B$1:$AC$1,0)),0)</f>
        <v/>
      </c>
      <c r="C15" s="7">
        <f>IFERROR(INDEX(武器配方!$B$2:$AC$31,MATCH(C$2,武器配方!$A$2:$A$31,0),MATCH($A15,武器配方!$B$1:$AC$1,0)),0)</f>
        <v/>
      </c>
      <c r="D15" s="7">
        <f>IFERROR(INDEX(武器配方!$B$2:$AC$31,MATCH(D$2,武器配方!$A$2:$A$31,0),MATCH($A15,武器配方!$B$1:$AC$1,0)),0)</f>
        <v/>
      </c>
      <c r="E15" s="7">
        <f>IFERROR(INDEX(武器配方!$B$2:$AC$31,MATCH(E$2,武器配方!$A$2:$A$31,0),MATCH($A15,武器配方!$B$1:$AC$1,0)),0)</f>
        <v/>
      </c>
      <c r="F15" s="7">
        <f>IFERROR(INDEX(武器配方!$B$2:$AC$31,MATCH(F$2,武器配方!$A$2:$A$31,0),MATCH($A15,武器配方!$B$1:$AC$1,0)),0)</f>
        <v/>
      </c>
      <c r="G15" s="7">
        <f>IFERROR(INDEX(武器配方!$B$2:$AC$31,MATCH(G$2,武器配方!$A$2:$A$31,0),MATCH($A15,武器配方!$B$1:$AC$1,0)),0)</f>
        <v/>
      </c>
      <c r="H15" s="8">
        <f>SUM(B15:G15)</f>
        <v/>
      </c>
    </row>
    <row r="16">
      <c r="A16" s="6" t="inlineStr">
        <is>
          <t>奧妙的金屬碎片</t>
        </is>
      </c>
      <c r="B16" s="7">
        <f>IFERROR(INDEX(武器配方!$B$2:$AC$31,MATCH(B$2,武器配方!$A$2:$A$31,0),MATCH($A16,武器配方!$B$1:$AC$1,0)),0)</f>
        <v/>
      </c>
      <c r="C16" s="7">
        <f>IFERROR(INDEX(武器配方!$B$2:$AC$31,MATCH(C$2,武器配方!$A$2:$A$31,0),MATCH($A16,武器配方!$B$1:$AC$1,0)),0)</f>
        <v/>
      </c>
      <c r="D16" s="7">
        <f>IFERROR(INDEX(武器配方!$B$2:$AC$31,MATCH(D$2,武器配方!$A$2:$A$31,0),MATCH($A16,武器配方!$B$1:$AC$1,0)),0)</f>
        <v/>
      </c>
      <c r="E16" s="7">
        <f>IFERROR(INDEX(武器配方!$B$2:$AC$31,MATCH(E$2,武器配方!$A$2:$A$31,0),MATCH($A16,武器配方!$B$1:$AC$1,0)),0)</f>
        <v/>
      </c>
      <c r="F16" s="7">
        <f>IFERROR(INDEX(武器配方!$B$2:$AC$31,MATCH(F$2,武器配方!$A$2:$A$31,0),MATCH($A16,武器配方!$B$1:$AC$1,0)),0)</f>
        <v/>
      </c>
      <c r="G16" s="7">
        <f>IFERROR(INDEX(武器配方!$B$2:$AC$31,MATCH(G$2,武器配方!$A$2:$A$31,0),MATCH($A16,武器配方!$B$1:$AC$1,0)),0)</f>
        <v/>
      </c>
      <c r="H16" s="8">
        <f>SUM(B16:G16)</f>
        <v/>
      </c>
    </row>
    <row r="17">
      <c r="A17" s="6" t="inlineStr">
        <is>
          <t>奧妙的魔力石</t>
        </is>
      </c>
      <c r="B17" s="7">
        <f>IFERROR(INDEX(武器配方!$B$2:$AC$31,MATCH(B$2,武器配方!$A$2:$A$31,0),MATCH($A17,武器配方!$B$1:$AC$1,0)),0)</f>
        <v/>
      </c>
      <c r="C17" s="7">
        <f>IFERROR(INDEX(武器配方!$B$2:$AC$31,MATCH(C$2,武器配方!$A$2:$A$31,0),MATCH($A17,武器配方!$B$1:$AC$1,0)),0)</f>
        <v/>
      </c>
      <c r="D17" s="7">
        <f>IFERROR(INDEX(武器配方!$B$2:$AC$31,MATCH(D$2,武器配方!$A$2:$A$31,0),MATCH($A17,武器配方!$B$1:$AC$1,0)),0)</f>
        <v/>
      </c>
      <c r="E17" s="7">
        <f>IFERROR(INDEX(武器配方!$B$2:$AC$31,MATCH(E$2,武器配方!$A$2:$A$31,0),MATCH($A17,武器配方!$B$1:$AC$1,0)),0)</f>
        <v/>
      </c>
      <c r="F17" s="7">
        <f>IFERROR(INDEX(武器配方!$B$2:$AC$31,MATCH(F$2,武器配方!$A$2:$A$31,0),MATCH($A17,武器配方!$B$1:$AC$1,0)),0)</f>
        <v/>
      </c>
      <c r="G17" s="7">
        <f>IFERROR(INDEX(武器配方!$B$2:$AC$31,MATCH(G$2,武器配方!$A$2:$A$31,0),MATCH($A17,武器配方!$B$1:$AC$1,0)),0)</f>
        <v/>
      </c>
      <c r="H17" s="8">
        <f>SUM(B17:G17)</f>
        <v/>
      </c>
    </row>
    <row r="18">
      <c r="A18" s="6" t="inlineStr">
        <is>
          <t>奧妙的皮革碎片</t>
        </is>
      </c>
      <c r="B18" s="7">
        <f>IFERROR(INDEX(武器配方!$B$2:$AC$31,MATCH(B$2,武器配方!$A$2:$A$31,0),MATCH($A18,武器配方!$B$1:$AC$1,0)),0)</f>
        <v/>
      </c>
      <c r="C18" s="7">
        <f>IFERROR(INDEX(武器配方!$B$2:$AC$31,MATCH(C$2,武器配方!$A$2:$A$31,0),MATCH($A18,武器配方!$B$1:$AC$1,0)),0)</f>
        <v/>
      </c>
      <c r="D18" s="7">
        <f>IFERROR(INDEX(武器配方!$B$2:$AC$31,MATCH(D$2,武器配方!$A$2:$A$31,0),MATCH($A18,武器配方!$B$1:$AC$1,0)),0)</f>
        <v/>
      </c>
      <c r="E18" s="7">
        <f>IFERROR(INDEX(武器配方!$B$2:$AC$31,MATCH(E$2,武器配方!$A$2:$A$31,0),MATCH($A18,武器配方!$B$1:$AC$1,0)),0)</f>
        <v/>
      </c>
      <c r="F18" s="7">
        <f>IFERROR(INDEX(武器配方!$B$2:$AC$31,MATCH(F$2,武器配方!$A$2:$A$31,0),MATCH($A18,武器配方!$B$1:$AC$1,0)),0)</f>
        <v/>
      </c>
      <c r="G18" s="7">
        <f>IFERROR(INDEX(武器配方!$B$2:$AC$31,MATCH(G$2,武器配方!$A$2:$A$31,0),MATCH($A18,武器配方!$B$1:$AC$1,0)),0)</f>
        <v/>
      </c>
      <c r="H18" s="8">
        <f>SUM(B18:G18)</f>
        <v/>
      </c>
    </row>
    <row r="19">
      <c r="A19" s="6" t="inlineStr">
        <is>
          <t>高純度魔力結晶</t>
        </is>
      </c>
      <c r="B19" s="7">
        <f>IFERROR(INDEX(武器配方!$B$2:$AC$31,MATCH(B$2,武器配方!$A$2:$A$31,0),MATCH($A19,武器配方!$B$1:$AC$1,0)),0)</f>
        <v/>
      </c>
      <c r="C19" s="7">
        <f>IFERROR(INDEX(武器配方!$B$2:$AC$31,MATCH(C$2,武器配方!$A$2:$A$31,0),MATCH($A19,武器配方!$B$1:$AC$1,0)),0)</f>
        <v/>
      </c>
      <c r="D19" s="7">
        <f>IFERROR(INDEX(武器配方!$B$2:$AC$31,MATCH(D$2,武器配方!$A$2:$A$31,0),MATCH($A19,武器配方!$B$1:$AC$1,0)),0)</f>
        <v/>
      </c>
      <c r="E19" s="7">
        <f>IFERROR(INDEX(武器配方!$B$2:$AC$31,MATCH(E$2,武器配方!$A$2:$A$31,0),MATCH($A19,武器配方!$B$1:$AC$1,0)),0)</f>
        <v/>
      </c>
      <c r="F19" s="7">
        <f>IFERROR(INDEX(武器配方!$B$2:$AC$31,MATCH(F$2,武器配方!$A$2:$A$31,0),MATCH($A19,武器配方!$B$1:$AC$1,0)),0)</f>
        <v/>
      </c>
      <c r="G19" s="7">
        <f>IFERROR(INDEX(武器配方!$B$2:$AC$31,MATCH(G$2,武器配方!$A$2:$A$31,0),MATCH($A19,武器配方!$B$1:$AC$1,0)),0)</f>
        <v/>
      </c>
      <c r="H19" s="8">
        <f>SUM(B19:G19)</f>
        <v/>
      </c>
    </row>
    <row r="20">
      <c r="A20" s="6" t="inlineStr">
        <is>
          <t>綠意盎然的刀刃碎片</t>
        </is>
      </c>
      <c r="B20" s="7">
        <f>IFERROR(INDEX(武器配方!$B$2:$AC$31,MATCH(B$2,武器配方!$A$2:$A$31,0),MATCH($A20,武器配方!$B$1:$AC$1,0)),0)</f>
        <v/>
      </c>
      <c r="C20" s="7">
        <f>IFERROR(INDEX(武器配方!$B$2:$AC$31,MATCH(C$2,武器配方!$A$2:$A$31,0),MATCH($A20,武器配方!$B$1:$AC$1,0)),0)</f>
        <v/>
      </c>
      <c r="D20" s="7">
        <f>IFERROR(INDEX(武器配方!$B$2:$AC$31,MATCH(D$2,武器配方!$A$2:$A$31,0),MATCH($A20,武器配方!$B$1:$AC$1,0)),0)</f>
        <v/>
      </c>
      <c r="E20" s="7">
        <f>IFERROR(INDEX(武器配方!$B$2:$AC$31,MATCH(E$2,武器配方!$A$2:$A$31,0),MATCH($A20,武器配方!$B$1:$AC$1,0)),0)</f>
        <v/>
      </c>
      <c r="F20" s="7">
        <f>IFERROR(INDEX(武器配方!$B$2:$AC$31,MATCH(F$2,武器配方!$A$2:$A$31,0),MATCH($A20,武器配方!$B$1:$AC$1,0)),0)</f>
        <v/>
      </c>
      <c r="G20" s="7">
        <f>IFERROR(INDEX(武器配方!$B$2:$AC$31,MATCH(G$2,武器配方!$A$2:$A$31,0),MATCH($A20,武器配方!$B$1:$AC$1,0)),0)</f>
        <v/>
      </c>
      <c r="H20" s="8">
        <f>SUM(B20:G20)</f>
        <v/>
      </c>
    </row>
    <row r="21">
      <c r="A21" s="6" t="inlineStr">
        <is>
          <t>綠意盎然的金屬碎片</t>
        </is>
      </c>
      <c r="B21" s="7">
        <f>IFERROR(INDEX(武器配方!$B$2:$AC$31,MATCH(B$2,武器配方!$A$2:$A$31,0),MATCH($A21,武器配方!$B$1:$AC$1,0)),0)</f>
        <v/>
      </c>
      <c r="C21" s="7">
        <f>IFERROR(INDEX(武器配方!$B$2:$AC$31,MATCH(C$2,武器配方!$A$2:$A$31,0),MATCH($A21,武器配方!$B$1:$AC$1,0)),0)</f>
        <v/>
      </c>
      <c r="D21" s="7">
        <f>IFERROR(INDEX(武器配方!$B$2:$AC$31,MATCH(D$2,武器配方!$A$2:$A$31,0),MATCH($A21,武器配方!$B$1:$AC$1,0)),0)</f>
        <v/>
      </c>
      <c r="E21" s="7">
        <f>IFERROR(INDEX(武器配方!$B$2:$AC$31,MATCH(E$2,武器配方!$A$2:$A$31,0),MATCH($A21,武器配方!$B$1:$AC$1,0)),0)</f>
        <v/>
      </c>
      <c r="F21" s="7">
        <f>IFERROR(INDEX(武器配方!$B$2:$AC$31,MATCH(F$2,武器配方!$A$2:$A$31,0),MATCH($A21,武器配方!$B$1:$AC$1,0)),0)</f>
        <v/>
      </c>
      <c r="G21" s="7">
        <f>IFERROR(INDEX(武器配方!$B$2:$AC$31,MATCH(G$2,武器配方!$A$2:$A$31,0),MATCH($A21,武器配方!$B$1:$AC$1,0)),0)</f>
        <v/>
      </c>
      <c r="H21" s="8">
        <f>SUM(B21:G21)</f>
        <v/>
      </c>
    </row>
    <row r="22">
      <c r="A22" s="6" t="inlineStr">
        <is>
          <t>綠意盎然的礦石碎片</t>
        </is>
      </c>
      <c r="B22" s="7">
        <f>IFERROR(INDEX(武器配方!$B$2:$AC$31,MATCH(B$2,武器配方!$A$2:$A$31,0),MATCH($A22,武器配方!$B$1:$AC$1,0)),0)</f>
        <v/>
      </c>
      <c r="C22" s="7">
        <f>IFERROR(INDEX(武器配方!$B$2:$AC$31,MATCH(C$2,武器配方!$A$2:$A$31,0),MATCH($A22,武器配方!$B$1:$AC$1,0)),0)</f>
        <v/>
      </c>
      <c r="D22" s="7">
        <f>IFERROR(INDEX(武器配方!$B$2:$AC$31,MATCH(D$2,武器配方!$A$2:$A$31,0),MATCH($A22,武器配方!$B$1:$AC$1,0)),0)</f>
        <v/>
      </c>
      <c r="E22" s="7">
        <f>IFERROR(INDEX(武器配方!$B$2:$AC$31,MATCH(E$2,武器配方!$A$2:$A$31,0),MATCH($A22,武器配方!$B$1:$AC$1,0)),0)</f>
        <v/>
      </c>
      <c r="F22" s="7">
        <f>IFERROR(INDEX(武器配方!$B$2:$AC$31,MATCH(F$2,武器配方!$A$2:$A$31,0),MATCH($A22,武器配方!$B$1:$AC$1,0)),0)</f>
        <v/>
      </c>
      <c r="G22" s="7">
        <f>IFERROR(INDEX(武器配方!$B$2:$AC$31,MATCH(G$2,武器配方!$A$2:$A$31,0),MATCH($A22,武器配方!$B$1:$AC$1,0)),0)</f>
        <v/>
      </c>
      <c r="H22" s="8">
        <f>SUM(B22:G22)</f>
        <v/>
      </c>
    </row>
    <row r="23">
      <c r="A23" s="6" t="inlineStr">
        <is>
          <t>綠意盎然的木柴</t>
        </is>
      </c>
      <c r="B23" s="7">
        <f>IFERROR(INDEX(武器配方!$B$2:$AC$31,MATCH(B$2,武器配方!$A$2:$A$31,0),MATCH($A23,武器配方!$B$1:$AC$1,0)),0)</f>
        <v/>
      </c>
      <c r="C23" s="7">
        <f>IFERROR(INDEX(武器配方!$B$2:$AC$31,MATCH(C$2,武器配方!$A$2:$A$31,0),MATCH($A23,武器配方!$B$1:$AC$1,0)),0)</f>
        <v/>
      </c>
      <c r="D23" s="7">
        <f>IFERROR(INDEX(武器配方!$B$2:$AC$31,MATCH(D$2,武器配方!$A$2:$A$31,0),MATCH($A23,武器配方!$B$1:$AC$1,0)),0)</f>
        <v/>
      </c>
      <c r="E23" s="7">
        <f>IFERROR(INDEX(武器配方!$B$2:$AC$31,MATCH(E$2,武器配方!$A$2:$A$31,0),MATCH($A23,武器配方!$B$1:$AC$1,0)),0)</f>
        <v/>
      </c>
      <c r="F23" s="7">
        <f>IFERROR(INDEX(武器配方!$B$2:$AC$31,MATCH(F$2,武器配方!$A$2:$A$31,0),MATCH($A23,武器配方!$B$1:$AC$1,0)),0)</f>
        <v/>
      </c>
      <c r="G23" s="7">
        <f>IFERROR(INDEX(武器配方!$B$2:$AC$31,MATCH(G$2,武器配方!$A$2:$A$31,0),MATCH($A23,武器配方!$B$1:$AC$1,0)),0)</f>
        <v/>
      </c>
      <c r="H23" s="8">
        <f>SUM(B23:G23)</f>
        <v/>
      </c>
    </row>
    <row r="24">
      <c r="A24" s="6" t="inlineStr">
        <is>
          <t>堅硬的稀原礦石碎片</t>
        </is>
      </c>
      <c r="B24" s="7">
        <f>IFERROR(INDEX(武器配方!$B$2:$AC$31,MATCH(B$2,武器配方!$A$2:$A$31,0),MATCH($A24,武器配方!$B$1:$AC$1,0)),0)</f>
        <v/>
      </c>
      <c r="C24" s="7">
        <f>IFERROR(INDEX(武器配方!$B$2:$AC$31,MATCH(C$2,武器配方!$A$2:$A$31,0),MATCH($A24,武器配方!$B$1:$AC$1,0)),0)</f>
        <v/>
      </c>
      <c r="D24" s="7">
        <f>IFERROR(INDEX(武器配方!$B$2:$AC$31,MATCH(D$2,武器配方!$A$2:$A$31,0),MATCH($A24,武器配方!$B$1:$AC$1,0)),0)</f>
        <v/>
      </c>
      <c r="E24" s="7">
        <f>IFERROR(INDEX(武器配方!$B$2:$AC$31,MATCH(E$2,武器配方!$A$2:$A$31,0),MATCH($A24,武器配方!$B$1:$AC$1,0)),0)</f>
        <v/>
      </c>
      <c r="F24" s="7">
        <f>IFERROR(INDEX(武器配方!$B$2:$AC$31,MATCH(F$2,武器配方!$A$2:$A$31,0),MATCH($A24,武器配方!$B$1:$AC$1,0)),0)</f>
        <v/>
      </c>
      <c r="G24" s="7">
        <f>IFERROR(INDEX(武器配方!$B$2:$AC$31,MATCH(G$2,武器配方!$A$2:$A$31,0),MATCH($A24,武器配方!$B$1:$AC$1,0)),0)</f>
        <v/>
      </c>
      <c r="H24" s="8">
        <f>SUM(B24:G24)</f>
        <v/>
      </c>
    </row>
    <row r="25">
      <c r="A25" s="6" t="inlineStr">
        <is>
          <t>純白的皮革碎片</t>
        </is>
      </c>
      <c r="B25" s="7">
        <f>IFERROR(INDEX(武器配方!$B$2:$AC$31,MATCH(B$2,武器配方!$A$2:$A$31,0),MATCH($A25,武器配方!$B$1:$AC$1,0)),0)</f>
        <v/>
      </c>
      <c r="C25" s="7">
        <f>IFERROR(INDEX(武器配方!$B$2:$AC$31,MATCH(C$2,武器配方!$A$2:$A$31,0),MATCH($A25,武器配方!$B$1:$AC$1,0)),0)</f>
        <v/>
      </c>
      <c r="D25" s="7">
        <f>IFERROR(INDEX(武器配方!$B$2:$AC$31,MATCH(D$2,武器配方!$A$2:$A$31,0),MATCH($A25,武器配方!$B$1:$AC$1,0)),0)</f>
        <v/>
      </c>
      <c r="E25" s="7">
        <f>IFERROR(INDEX(武器配方!$B$2:$AC$31,MATCH(E$2,武器配方!$A$2:$A$31,0),MATCH($A25,武器配方!$B$1:$AC$1,0)),0)</f>
        <v/>
      </c>
      <c r="F25" s="7">
        <f>IFERROR(INDEX(武器配方!$B$2:$AC$31,MATCH(F$2,武器配方!$A$2:$A$31,0),MATCH($A25,武器配方!$B$1:$AC$1,0)),0)</f>
        <v/>
      </c>
      <c r="G25" s="7">
        <f>IFERROR(INDEX(武器配方!$B$2:$AC$31,MATCH(G$2,武器配方!$A$2:$A$31,0),MATCH($A25,武器配方!$B$1:$AC$1,0)),0)</f>
        <v/>
      </c>
      <c r="H25" s="8">
        <f>SUM(B25:G25)</f>
        <v/>
      </c>
    </row>
    <row r="26">
      <c r="A26" s="6" t="inlineStr">
        <is>
          <t>純白的羽毛</t>
        </is>
      </c>
      <c r="B26" s="7">
        <f>IFERROR(INDEX(武器配方!$B$2:$AC$31,MATCH(B$2,武器配方!$A$2:$A$31,0),MATCH($A26,武器配方!$B$1:$AC$1,0)),0)</f>
        <v/>
      </c>
      <c r="C26" s="7">
        <f>IFERROR(INDEX(武器配方!$B$2:$AC$31,MATCH(C$2,武器配方!$A$2:$A$31,0),MATCH($A26,武器配方!$B$1:$AC$1,0)),0)</f>
        <v/>
      </c>
      <c r="D26" s="7">
        <f>IFERROR(INDEX(武器配方!$B$2:$AC$31,MATCH(D$2,武器配方!$A$2:$A$31,0),MATCH($A26,武器配方!$B$1:$AC$1,0)),0)</f>
        <v/>
      </c>
      <c r="E26" s="7">
        <f>IFERROR(INDEX(武器配方!$B$2:$AC$31,MATCH(E$2,武器配方!$A$2:$A$31,0),MATCH($A26,武器配方!$B$1:$AC$1,0)),0)</f>
        <v/>
      </c>
      <c r="F26" s="7">
        <f>IFERROR(INDEX(武器配方!$B$2:$AC$31,MATCH(F$2,武器配方!$A$2:$A$31,0),MATCH($A26,武器配方!$B$1:$AC$1,0)),0)</f>
        <v/>
      </c>
      <c r="G26" s="7">
        <f>IFERROR(INDEX(武器配方!$B$2:$AC$31,MATCH(G$2,武器配方!$A$2:$A$31,0),MATCH($A26,武器配方!$B$1:$AC$1,0)),0)</f>
        <v/>
      </c>
      <c r="H26" s="8">
        <f>SUM(B26:G26)</f>
        <v/>
      </c>
    </row>
    <row r="27">
      <c r="A27" s="6" t="inlineStr">
        <is>
          <t>透明的鍊金術結晶</t>
        </is>
      </c>
      <c r="B27" s="7">
        <f>IFERROR(INDEX(武器配方!$B$2:$AC$31,MATCH(B$2,武器配方!$A$2:$A$31,0),MATCH($A27,武器配方!$B$1:$AC$1,0)),0)</f>
        <v/>
      </c>
      <c r="C27" s="7">
        <f>IFERROR(INDEX(武器配方!$B$2:$AC$31,MATCH(C$2,武器配方!$A$2:$A$31,0),MATCH($A27,武器配方!$B$1:$AC$1,0)),0)</f>
        <v/>
      </c>
      <c r="D27" s="7">
        <f>IFERROR(INDEX(武器配方!$B$2:$AC$31,MATCH(D$2,武器配方!$A$2:$A$31,0),MATCH($A27,武器配方!$B$1:$AC$1,0)),0)</f>
        <v/>
      </c>
      <c r="E27" s="7">
        <f>IFERROR(INDEX(武器配方!$B$2:$AC$31,MATCH(E$2,武器配方!$A$2:$A$31,0),MATCH($A27,武器配方!$B$1:$AC$1,0)),0)</f>
        <v/>
      </c>
      <c r="F27" s="7">
        <f>IFERROR(INDEX(武器配方!$B$2:$AC$31,MATCH(F$2,武器配方!$A$2:$A$31,0),MATCH($A27,武器配方!$B$1:$AC$1,0)),0)</f>
        <v/>
      </c>
      <c r="G27" s="7">
        <f>IFERROR(INDEX(武器配方!$B$2:$AC$31,MATCH(G$2,武器配方!$A$2:$A$31,0),MATCH($A27,武器配方!$B$1:$AC$1,0)),0)</f>
        <v/>
      </c>
      <c r="H27" s="8">
        <f>SUM(B27:G27)</f>
        <v/>
      </c>
    </row>
    <row r="28">
      <c r="A28" s="6" t="inlineStr">
        <is>
          <t>綠意盎然的法師的寶石</t>
        </is>
      </c>
      <c r="B28" s="7">
        <f>IFERROR(INDEX(武器配方!$B$2:$AC$31,MATCH(B$2,武器配方!$A$2:$A$31,0),MATCH($A28,武器配方!$B$1:$AC$1,0)),0)</f>
        <v/>
      </c>
      <c r="C28" s="7">
        <f>IFERROR(INDEX(武器配方!$B$2:$AC$31,MATCH(C$2,武器配方!$A$2:$A$31,0),MATCH($A28,武器配方!$B$1:$AC$1,0)),0)</f>
        <v/>
      </c>
      <c r="D28" s="7">
        <f>IFERROR(INDEX(武器配方!$B$2:$AC$31,MATCH(D$2,武器配方!$A$2:$A$31,0),MATCH($A28,武器配方!$B$1:$AC$1,0)),0)</f>
        <v/>
      </c>
      <c r="E28" s="7">
        <f>IFERROR(INDEX(武器配方!$B$2:$AC$31,MATCH(E$2,武器配方!$A$2:$A$31,0),MATCH($A28,武器配方!$B$1:$AC$1,0)),0)</f>
        <v/>
      </c>
      <c r="F28" s="7">
        <f>IFERROR(INDEX(武器配方!$B$2:$AC$31,MATCH(F$2,武器配方!$A$2:$A$31,0),MATCH($A28,武器配方!$B$1:$AC$1,0)),0)</f>
        <v/>
      </c>
      <c r="G28" s="7">
        <f>IFERROR(INDEX(武器配方!$B$2:$AC$31,MATCH(G$2,武器配方!$A$2:$A$31,0),MATCH($A28,武器配方!$B$1:$AC$1,0)),0)</f>
        <v/>
      </c>
      <c r="H28" s="8">
        <f>SUM(B28:G28)</f>
        <v/>
      </c>
    </row>
    <row r="29">
      <c r="A29" s="6" t="inlineStr">
        <is>
          <t>堅硬的狼牙</t>
        </is>
      </c>
      <c r="B29" s="7">
        <f>IFERROR(INDEX(武器配方!$B$2:$AC$31,MATCH(B$2,武器配方!$A$2:$A$31,0),MATCH($A29,武器配方!$B$1:$AC$1,0)),0)</f>
        <v/>
      </c>
      <c r="C29" s="7">
        <f>IFERROR(INDEX(武器配方!$B$2:$AC$31,MATCH(C$2,武器配方!$A$2:$A$31,0),MATCH($A29,武器配方!$B$1:$AC$1,0)),0)</f>
        <v/>
      </c>
      <c r="D29" s="7">
        <f>IFERROR(INDEX(武器配方!$B$2:$AC$31,MATCH(D$2,武器配方!$A$2:$A$31,0),MATCH($A29,武器配方!$B$1:$AC$1,0)),0)</f>
        <v/>
      </c>
      <c r="E29" s="7">
        <f>IFERROR(INDEX(武器配方!$B$2:$AC$31,MATCH(E$2,武器配方!$A$2:$A$31,0),MATCH($A29,武器配方!$B$1:$AC$1,0)),0)</f>
        <v/>
      </c>
      <c r="F29" s="7">
        <f>IFERROR(INDEX(武器配方!$B$2:$AC$31,MATCH(F$2,武器配方!$A$2:$A$31,0),MATCH($A29,武器配方!$B$1:$AC$1,0)),0)</f>
        <v/>
      </c>
      <c r="G29" s="7">
        <f>IFERROR(INDEX(武器配方!$B$2:$AC$31,MATCH(G$2,武器配方!$A$2:$A$31,0),MATCH($A29,武器配方!$B$1:$AC$1,0)),0)</f>
        <v/>
      </c>
      <c r="H29" s="8">
        <f>SUM(B29:G29)</f>
        <v/>
      </c>
    </row>
    <row r="30">
      <c r="A30" s="6" t="inlineStr">
        <is>
          <t>魔力石</t>
        </is>
      </c>
      <c r="B30" s="7">
        <f>IFERROR(INDEX(武器配方!$B$2:$AC$31,MATCH(B$2,武器配方!$A$2:$A$31,0),MATCH($A30,武器配方!$B$1:$AC$1,0)),0)</f>
        <v/>
      </c>
      <c r="C30" s="7">
        <f>IFERROR(INDEX(武器配方!$B$2:$AC$31,MATCH(C$2,武器配方!$A$2:$A$31,0),MATCH($A30,武器配方!$B$1:$AC$1,0)),0)</f>
        <v/>
      </c>
      <c r="D30" s="7">
        <f>IFERROR(INDEX(武器配方!$B$2:$AC$31,MATCH(D$2,武器配方!$A$2:$A$31,0),MATCH($A30,武器配方!$B$1:$AC$1,0)),0)</f>
        <v/>
      </c>
      <c r="E30" s="7">
        <f>IFERROR(INDEX(武器配方!$B$2:$AC$31,MATCH(E$2,武器配方!$A$2:$A$31,0),MATCH($A30,武器配方!$B$1:$AC$1,0)),0)</f>
        <v/>
      </c>
      <c r="F30" s="7">
        <f>IFERROR(INDEX(武器配方!$B$2:$AC$31,MATCH(F$2,武器配方!$A$2:$A$31,0),MATCH($A30,武器配方!$B$1:$AC$1,0)),0)</f>
        <v/>
      </c>
      <c r="G30" s="7">
        <f>IFERROR(INDEX(武器配方!$B$2:$AC$31,MATCH(G$2,武器配方!$A$2:$A$31,0),MATCH($A30,武器配方!$B$1:$AC$1,0)),0)</f>
        <v/>
      </c>
      <c r="H30" s="8">
        <f>SUM(B30:G30)</f>
        <v/>
      </c>
    </row>
  </sheetData>
  <conditionalFormatting sqref="B3:B30">
    <cfRule type="cellIs" priority="1" operator="greaterThan" dxfId="2">
      <formula>0</formula>
    </cfRule>
  </conditionalFormatting>
  <conditionalFormatting sqref="C3:C30">
    <cfRule type="cellIs" priority="2" operator="greaterThan" dxfId="2">
      <formula>0</formula>
    </cfRule>
  </conditionalFormatting>
  <conditionalFormatting sqref="D3:D30">
    <cfRule type="cellIs" priority="3" operator="greaterThan" dxfId="2">
      <formula>0</formula>
    </cfRule>
  </conditionalFormatting>
  <conditionalFormatting sqref="E3:E30">
    <cfRule type="cellIs" priority="4" operator="greaterThan" dxfId="2">
      <formula>0</formula>
    </cfRule>
  </conditionalFormatting>
  <conditionalFormatting sqref="F3:F30">
    <cfRule type="cellIs" priority="5" operator="greaterThan" dxfId="2">
      <formula>0</formula>
    </cfRule>
  </conditionalFormatting>
  <conditionalFormatting sqref="G3:G30">
    <cfRule type="cellIs" priority="6" operator="greaterThan" dxfId="2">
      <formula>0</formula>
    </cfRule>
  </conditionalFormatting>
  <conditionalFormatting sqref="H3:H30">
    <cfRule type="cellIs" priority="7" operator="greaterThan" dxfId="3">
      <formula>0</formula>
    </cfRule>
  </conditionalFormatting>
  <dataValidations count="1">
    <dataValidation sqref="B2:G2" showDropDown="0" showInputMessage="0" showErrorMessage="0" allowBlank="0" type="list">
      <formula1>=武器配方!$A$2:$A$31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4" customWidth="1" min="4" max="4"/>
    <col width="10" customWidth="1" min="5" max="5"/>
  </cols>
  <sheetData>
    <row r="1">
      <c r="A1" s="1" t="inlineStr">
        <is>
          <t>時間戳</t>
        </is>
      </c>
      <c r="B1" s="1" t="inlineStr">
        <is>
          <t>成員</t>
        </is>
      </c>
      <c r="C1" s="1" t="inlineStr">
        <is>
          <t>計入公庫</t>
        </is>
      </c>
      <c r="D1" s="1" t="inlineStr">
        <is>
          <t>材料</t>
        </is>
      </c>
      <c r="E1" s="1" t="inlineStr">
        <is>
          <t>數量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武器</t>
        </is>
      </c>
      <c r="B1" s="1" t="inlineStr">
        <is>
          <t>布里萊赫核心</t>
        </is>
      </c>
      <c r="C1" s="1" t="inlineStr">
        <is>
          <t>布里萊赫精髓</t>
        </is>
      </c>
      <c r="D1" s="1" t="inlineStr">
        <is>
          <t>橘光記憶碎片</t>
        </is>
      </c>
      <c r="E1" s="1" t="inlineStr">
        <is>
          <t>綠光記憶碎片</t>
        </is>
      </c>
      <c r="F1" s="1" t="inlineStr">
        <is>
          <t>黃光記憶碎片</t>
        </is>
      </c>
      <c r="G1" s="1" t="inlineStr">
        <is>
          <t>蘊含布里萊赫氣息的徽章</t>
        </is>
      </c>
      <c r="H1" s="1" t="inlineStr">
        <is>
          <t>鈍刃碎片</t>
        </is>
      </c>
      <c r="I1" s="1" t="inlineStr">
        <is>
          <t>柔軟的金屬碎片</t>
        </is>
      </c>
      <c r="J1" s="1" t="inlineStr">
        <is>
          <t>褪色的刺繡線</t>
        </is>
      </c>
      <c r="K1" s="1" t="inlineStr">
        <is>
          <t>空的魔力石</t>
        </is>
      </c>
      <c r="L1" s="1" t="inlineStr">
        <is>
          <t>霰石</t>
        </is>
      </c>
      <c r="M1" s="1" t="inlineStr">
        <is>
          <t>透輝石</t>
        </is>
      </c>
      <c r="N1" s="1" t="inlineStr">
        <is>
          <t>鵝卵石</t>
        </is>
      </c>
      <c r="O1" s="1" t="inlineStr">
        <is>
          <t>奧妙的金屬碎片</t>
        </is>
      </c>
      <c r="P1" s="1" t="inlineStr">
        <is>
          <t>奧妙的魔力石</t>
        </is>
      </c>
      <c r="Q1" s="1" t="inlineStr">
        <is>
          <t>奧妙的皮革碎片</t>
        </is>
      </c>
      <c r="R1" s="1" t="inlineStr">
        <is>
          <t>高純度魔力結晶</t>
        </is>
      </c>
      <c r="S1" s="1" t="inlineStr">
        <is>
          <t>綠意盎然的刀刃碎片</t>
        </is>
      </c>
      <c r="T1" s="1" t="inlineStr">
        <is>
          <t>綠意盎然的金屬碎片</t>
        </is>
      </c>
      <c r="U1" s="1" t="inlineStr">
        <is>
          <t>綠意盎然的礦石碎片</t>
        </is>
      </c>
      <c r="V1" s="1" t="inlineStr">
        <is>
          <t>綠意盎然的木柴</t>
        </is>
      </c>
      <c r="W1" s="1" t="inlineStr">
        <is>
          <t>堅硬的稀原礦石碎片</t>
        </is>
      </c>
      <c r="X1" s="1" t="inlineStr">
        <is>
          <t>純白的皮革碎片</t>
        </is>
      </c>
      <c r="Y1" s="1" t="inlineStr">
        <is>
          <t>純白的羽毛</t>
        </is>
      </c>
      <c r="Z1" s="1" t="inlineStr">
        <is>
          <t>透明的鍊金術結晶</t>
        </is>
      </c>
      <c r="AA1" s="1" t="inlineStr">
        <is>
          <t>綠意盎然的法師的寶石</t>
        </is>
      </c>
      <c r="AB1" s="1" t="inlineStr">
        <is>
          <t>堅硬的狼牙</t>
        </is>
      </c>
      <c r="AC1" s="1" t="inlineStr">
        <is>
          <t>魔力石</t>
        </is>
      </c>
    </row>
    <row r="2">
      <c r="A2" s="2" t="inlineStr">
        <is>
          <t>不製作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</row>
    <row r="3">
      <c r="A3" s="2" t="inlineStr">
        <is>
          <t>靈魂解放者單手劍</t>
        </is>
      </c>
      <c r="B3" s="9" t="n">
        <v>5</v>
      </c>
      <c r="C3" s="9" t="n">
        <v>10</v>
      </c>
      <c r="D3" s="9" t="n">
        <v>30</v>
      </c>
      <c r="E3" s="9" t="n">
        <v>0</v>
      </c>
      <c r="F3" s="9" t="n">
        <v>0</v>
      </c>
      <c r="G3" s="9" t="n">
        <v>6</v>
      </c>
      <c r="H3" s="9" t="n">
        <v>50</v>
      </c>
      <c r="I3" s="9" t="n">
        <v>0</v>
      </c>
      <c r="J3" s="9" t="n">
        <v>0</v>
      </c>
      <c r="K3" s="9" t="n">
        <v>0</v>
      </c>
      <c r="L3" s="9" t="n">
        <v>100</v>
      </c>
      <c r="M3" s="9" t="n">
        <v>0</v>
      </c>
      <c r="N3" s="9" t="n">
        <v>0</v>
      </c>
      <c r="O3" s="9" t="n">
        <v>20</v>
      </c>
      <c r="P3" s="9" t="n">
        <v>0</v>
      </c>
      <c r="Q3" s="9" t="n">
        <v>0</v>
      </c>
      <c r="R3" s="9" t="n">
        <v>20</v>
      </c>
      <c r="S3" s="9" t="n">
        <v>168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480</v>
      </c>
    </row>
    <row r="4">
      <c r="A4" s="2" t="inlineStr">
        <is>
          <t>靈魂解放者單手錘</t>
        </is>
      </c>
      <c r="B4" s="9" t="n">
        <v>5</v>
      </c>
      <c r="C4" s="9" t="n">
        <v>10</v>
      </c>
      <c r="D4" s="9" t="n">
        <v>30</v>
      </c>
      <c r="E4" s="9" t="n">
        <v>0</v>
      </c>
      <c r="F4" s="9" t="n">
        <v>0</v>
      </c>
      <c r="G4" s="9" t="n">
        <v>6</v>
      </c>
      <c r="H4" s="9" t="n">
        <v>50</v>
      </c>
      <c r="I4" s="9" t="n">
        <v>0</v>
      </c>
      <c r="J4" s="9" t="n">
        <v>0</v>
      </c>
      <c r="K4" s="9" t="n">
        <v>0</v>
      </c>
      <c r="L4" s="9" t="n">
        <v>100</v>
      </c>
      <c r="M4" s="9" t="n">
        <v>0</v>
      </c>
      <c r="N4" s="9" t="n">
        <v>0</v>
      </c>
      <c r="O4" s="9" t="n">
        <v>20</v>
      </c>
      <c r="P4" s="9" t="n">
        <v>0</v>
      </c>
      <c r="Q4" s="9" t="n">
        <v>0</v>
      </c>
      <c r="R4" s="9" t="n">
        <v>20</v>
      </c>
      <c r="S4" s="9" t="n">
        <v>168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480</v>
      </c>
    </row>
    <row r="5">
      <c r="A5" s="2" t="inlineStr">
        <is>
          <t>靈魂解放者單手斧</t>
        </is>
      </c>
      <c r="B5" s="9" t="n">
        <v>5</v>
      </c>
      <c r="C5" s="9" t="n">
        <v>10</v>
      </c>
      <c r="D5" s="9" t="n">
        <v>30</v>
      </c>
      <c r="E5" s="9" t="n">
        <v>0</v>
      </c>
      <c r="F5" s="9" t="n">
        <v>0</v>
      </c>
      <c r="G5" s="9" t="n">
        <v>6</v>
      </c>
      <c r="H5" s="9" t="n">
        <v>50</v>
      </c>
      <c r="I5" s="9" t="n">
        <v>0</v>
      </c>
      <c r="J5" s="9" t="n">
        <v>0</v>
      </c>
      <c r="K5" s="9" t="n">
        <v>0</v>
      </c>
      <c r="L5" s="9" t="n">
        <v>100</v>
      </c>
      <c r="M5" s="9" t="n">
        <v>0</v>
      </c>
      <c r="N5" s="9" t="n">
        <v>0</v>
      </c>
      <c r="O5" s="9" t="n">
        <v>20</v>
      </c>
      <c r="P5" s="9" t="n">
        <v>0</v>
      </c>
      <c r="Q5" s="9" t="n">
        <v>0</v>
      </c>
      <c r="R5" s="9" t="n">
        <v>20</v>
      </c>
      <c r="S5" s="9" t="n">
        <v>168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480</v>
      </c>
    </row>
    <row r="6">
      <c r="A6" s="2" t="inlineStr">
        <is>
          <t>靈魂解放者弓</t>
        </is>
      </c>
      <c r="B6" s="9" t="n">
        <v>5</v>
      </c>
      <c r="C6" s="9" t="n">
        <v>10</v>
      </c>
      <c r="D6" s="9" t="n">
        <v>30</v>
      </c>
      <c r="E6" s="9" t="n">
        <v>0</v>
      </c>
      <c r="F6" s="9" t="n">
        <v>0</v>
      </c>
      <c r="G6" s="9" t="n">
        <v>6</v>
      </c>
      <c r="H6" s="9" t="n">
        <v>0</v>
      </c>
      <c r="I6" s="9" t="n">
        <v>0</v>
      </c>
      <c r="J6" s="9" t="n">
        <v>50</v>
      </c>
      <c r="K6" s="9" t="n">
        <v>0</v>
      </c>
      <c r="L6" s="9" t="n">
        <v>100</v>
      </c>
      <c r="M6" s="9" t="n">
        <v>0</v>
      </c>
      <c r="N6" s="9" t="n">
        <v>0</v>
      </c>
      <c r="O6" s="9" t="n">
        <v>0</v>
      </c>
      <c r="P6" s="9" t="n">
        <v>20</v>
      </c>
      <c r="Q6" s="9" t="n">
        <v>0</v>
      </c>
      <c r="R6" s="9" t="n">
        <v>20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168</v>
      </c>
      <c r="Z6" s="9" t="n">
        <v>0</v>
      </c>
      <c r="AA6" s="9" t="n">
        <v>0</v>
      </c>
      <c r="AB6" s="9" t="n">
        <v>0</v>
      </c>
      <c r="AC6" s="9" t="n">
        <v>480</v>
      </c>
    </row>
    <row r="7">
      <c r="A7" s="2" t="inlineStr">
        <is>
          <t>靈魂解放者弩</t>
        </is>
      </c>
      <c r="B7" s="9" t="n">
        <v>5</v>
      </c>
      <c r="C7" s="9" t="n">
        <v>10</v>
      </c>
      <c r="D7" s="9" t="n">
        <v>30</v>
      </c>
      <c r="E7" s="9" t="n">
        <v>0</v>
      </c>
      <c r="F7" s="9" t="n">
        <v>0</v>
      </c>
      <c r="G7" s="9" t="n">
        <v>6</v>
      </c>
      <c r="H7" s="9" t="n">
        <v>0</v>
      </c>
      <c r="I7" s="9" t="n">
        <v>0</v>
      </c>
      <c r="J7" s="9" t="n">
        <v>50</v>
      </c>
      <c r="K7" s="9" t="n">
        <v>0</v>
      </c>
      <c r="L7" s="9" t="n">
        <v>100</v>
      </c>
      <c r="M7" s="9" t="n">
        <v>0</v>
      </c>
      <c r="N7" s="9" t="n">
        <v>0</v>
      </c>
      <c r="O7" s="9" t="n">
        <v>0</v>
      </c>
      <c r="P7" s="9" t="n">
        <v>20</v>
      </c>
      <c r="Q7" s="9" t="n">
        <v>0</v>
      </c>
      <c r="R7" s="9" t="n">
        <v>20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168</v>
      </c>
      <c r="Z7" s="9" t="n">
        <v>0</v>
      </c>
      <c r="AA7" s="9" t="n">
        <v>0</v>
      </c>
      <c r="AB7" s="9" t="n">
        <v>0</v>
      </c>
      <c r="AC7" s="9" t="n">
        <v>480</v>
      </c>
    </row>
    <row r="8">
      <c r="A8" s="2" t="inlineStr">
        <is>
          <t>靈魂解放者魔杖</t>
        </is>
      </c>
      <c r="B8" s="9" t="n">
        <v>5</v>
      </c>
      <c r="C8" s="9" t="n">
        <v>10</v>
      </c>
      <c r="D8" s="9" t="n">
        <v>0</v>
      </c>
      <c r="E8" s="9" t="n">
        <v>30</v>
      </c>
      <c r="F8" s="9" t="n">
        <v>0</v>
      </c>
      <c r="G8" s="9" t="n">
        <v>6</v>
      </c>
      <c r="H8" s="9" t="n">
        <v>0</v>
      </c>
      <c r="I8" s="9" t="n">
        <v>0</v>
      </c>
      <c r="J8" s="9" t="n">
        <v>0</v>
      </c>
      <c r="K8" s="9" t="n">
        <v>50</v>
      </c>
      <c r="L8" s="9" t="n">
        <v>0</v>
      </c>
      <c r="M8" s="9" t="n">
        <v>100</v>
      </c>
      <c r="N8" s="9" t="n">
        <v>0</v>
      </c>
      <c r="O8" s="9" t="n">
        <v>0</v>
      </c>
      <c r="P8" s="9" t="n">
        <v>20</v>
      </c>
      <c r="Q8" s="9" t="n">
        <v>0</v>
      </c>
      <c r="R8" s="9" t="n">
        <v>20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168</v>
      </c>
      <c r="AB8" s="9" t="n">
        <v>0</v>
      </c>
      <c r="AC8" s="9" t="n">
        <v>480</v>
      </c>
    </row>
    <row r="9">
      <c r="A9" s="2" t="inlineStr">
        <is>
          <t>靈魂解放者鋼瓶</t>
        </is>
      </c>
      <c r="B9" s="9" t="n">
        <v>5</v>
      </c>
      <c r="C9" s="9" t="n">
        <v>10</v>
      </c>
      <c r="D9" s="9" t="n">
        <v>30</v>
      </c>
      <c r="E9" s="9" t="n">
        <v>0</v>
      </c>
      <c r="F9" s="9" t="n">
        <v>0</v>
      </c>
      <c r="G9" s="9" t="n">
        <v>6</v>
      </c>
      <c r="H9" s="9" t="n">
        <v>0</v>
      </c>
      <c r="I9" s="9" t="n">
        <v>50</v>
      </c>
      <c r="J9" s="9" t="n">
        <v>0</v>
      </c>
      <c r="K9" s="9" t="n">
        <v>0</v>
      </c>
      <c r="L9" s="9" t="n">
        <v>100</v>
      </c>
      <c r="M9" s="9" t="n">
        <v>0</v>
      </c>
      <c r="N9" s="9" t="n">
        <v>0</v>
      </c>
      <c r="O9" s="9" t="n">
        <v>0</v>
      </c>
      <c r="P9" s="9" t="n">
        <v>20</v>
      </c>
      <c r="Q9" s="9" t="n">
        <v>0</v>
      </c>
      <c r="R9" s="9" t="n">
        <v>20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168</v>
      </c>
      <c r="AA9" s="9" t="n">
        <v>0</v>
      </c>
      <c r="AB9" s="9" t="n">
        <v>0</v>
      </c>
      <c r="AC9" s="9" t="n">
        <v>480</v>
      </c>
    </row>
    <row r="10">
      <c r="A10" s="2" t="inlineStr">
        <is>
          <t>靈魂解放者手把</t>
        </is>
      </c>
      <c r="B10" s="9" t="n">
        <v>5</v>
      </c>
      <c r="C10" s="9" t="n">
        <v>10</v>
      </c>
      <c r="D10" s="9" t="n">
        <v>0</v>
      </c>
      <c r="E10" s="9" t="n">
        <v>30</v>
      </c>
      <c r="F10" s="9" t="n">
        <v>0</v>
      </c>
      <c r="G10" s="9" t="n">
        <v>6</v>
      </c>
      <c r="H10" s="9" t="n">
        <v>0</v>
      </c>
      <c r="I10" s="9" t="n">
        <v>50</v>
      </c>
      <c r="J10" s="9" t="n">
        <v>0</v>
      </c>
      <c r="K10" s="9" t="n">
        <v>0</v>
      </c>
      <c r="L10" s="9" t="n">
        <v>0</v>
      </c>
      <c r="M10" s="9" t="n">
        <v>100</v>
      </c>
      <c r="N10" s="9" t="n">
        <v>0</v>
      </c>
      <c r="O10" s="9" t="n">
        <v>20</v>
      </c>
      <c r="P10" s="9" t="n">
        <v>0</v>
      </c>
      <c r="Q10" s="9" t="n">
        <v>0</v>
      </c>
      <c r="R10" s="9" t="n">
        <v>20</v>
      </c>
      <c r="S10" s="9" t="n">
        <v>0</v>
      </c>
      <c r="T10" s="9" t="n">
        <v>0</v>
      </c>
      <c r="U10" s="9" t="n">
        <v>0</v>
      </c>
      <c r="V10" s="9" t="n">
        <v>168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9" t="n">
        <v>0</v>
      </c>
      <c r="AC10" s="9" t="n">
        <v>480</v>
      </c>
    </row>
    <row r="11">
      <c r="A11" s="2" t="inlineStr">
        <is>
          <t>靈魂解放者里拉</t>
        </is>
      </c>
      <c r="B11" s="9" t="n">
        <v>8</v>
      </c>
      <c r="C11" s="9" t="n">
        <v>15</v>
      </c>
      <c r="D11" s="9" t="n">
        <v>0</v>
      </c>
      <c r="E11" s="9" t="n">
        <v>0</v>
      </c>
      <c r="F11" s="9" t="n">
        <v>0</v>
      </c>
      <c r="G11" s="9" t="n">
        <v>3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10</v>
      </c>
      <c r="R11" s="9" t="n">
        <v>60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</row>
    <row r="12">
      <c r="A12" s="2" t="inlineStr">
        <is>
          <t>靈魂解放者鐮刀</t>
        </is>
      </c>
      <c r="B12" s="9" t="n">
        <v>5</v>
      </c>
      <c r="C12" s="9" t="n">
        <v>10</v>
      </c>
      <c r="D12" s="9" t="n">
        <v>30</v>
      </c>
      <c r="E12" s="9" t="n">
        <v>0</v>
      </c>
      <c r="F12" s="9" t="n">
        <v>0</v>
      </c>
      <c r="G12" s="9" t="n">
        <v>6</v>
      </c>
      <c r="H12" s="9" t="n">
        <v>0</v>
      </c>
      <c r="I12" s="9" t="n">
        <v>0</v>
      </c>
      <c r="J12" s="9" t="n">
        <v>0</v>
      </c>
      <c r="K12" s="9" t="n">
        <v>50</v>
      </c>
      <c r="L12" s="9" t="n">
        <v>100</v>
      </c>
      <c r="M12" s="9" t="n">
        <v>0</v>
      </c>
      <c r="N12" s="9" t="n">
        <v>0</v>
      </c>
      <c r="O12" s="9" t="n">
        <v>0</v>
      </c>
      <c r="P12" s="9" t="n">
        <v>20</v>
      </c>
      <c r="Q12" s="9" t="n">
        <v>0</v>
      </c>
      <c r="R12" s="9" t="n">
        <v>20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168</v>
      </c>
      <c r="AB12" s="9" t="n">
        <v>0</v>
      </c>
      <c r="AC12" s="9" t="n">
        <v>480</v>
      </c>
    </row>
    <row r="13">
      <c r="A13" s="2" t="inlineStr">
        <is>
          <t>靈魂解放者雙手劍</t>
        </is>
      </c>
      <c r="B13" s="9" t="n">
        <v>9</v>
      </c>
      <c r="C13" s="9" t="n">
        <v>18</v>
      </c>
      <c r="D13" s="9" t="n">
        <v>0</v>
      </c>
      <c r="E13" s="9" t="n">
        <v>45</v>
      </c>
      <c r="F13" s="9" t="n">
        <v>0</v>
      </c>
      <c r="G13" s="9" t="n">
        <v>9</v>
      </c>
      <c r="H13" s="9" t="n">
        <v>100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150</v>
      </c>
      <c r="N13" s="9" t="n">
        <v>0</v>
      </c>
      <c r="O13" s="9" t="n">
        <v>30</v>
      </c>
      <c r="P13" s="9" t="n">
        <v>0</v>
      </c>
      <c r="Q13" s="9" t="n">
        <v>0</v>
      </c>
      <c r="R13" s="9" t="n">
        <v>30</v>
      </c>
      <c r="S13" s="9" t="n">
        <v>0</v>
      </c>
      <c r="T13" s="9" t="n">
        <v>336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960</v>
      </c>
    </row>
    <row r="14">
      <c r="A14" s="2" t="inlineStr">
        <is>
          <t>靈魂解放者雙手鎚</t>
        </is>
      </c>
      <c r="B14" s="9" t="n">
        <v>9</v>
      </c>
      <c r="C14" s="9" t="n">
        <v>18</v>
      </c>
      <c r="D14" s="9" t="n">
        <v>0</v>
      </c>
      <c r="E14" s="9" t="n">
        <v>45</v>
      </c>
      <c r="F14" s="9" t="n">
        <v>0</v>
      </c>
      <c r="G14" s="9" t="n">
        <v>9</v>
      </c>
      <c r="H14" s="9" t="n">
        <v>100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150</v>
      </c>
      <c r="N14" s="9" t="n">
        <v>0</v>
      </c>
      <c r="O14" s="9" t="n">
        <v>30</v>
      </c>
      <c r="P14" s="9" t="n">
        <v>0</v>
      </c>
      <c r="Q14" s="9" t="n">
        <v>0</v>
      </c>
      <c r="R14" s="9" t="n">
        <v>30</v>
      </c>
      <c r="S14" s="9" t="n">
        <v>0</v>
      </c>
      <c r="T14" s="9" t="n">
        <v>336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960</v>
      </c>
    </row>
    <row r="15">
      <c r="A15" s="2" t="inlineStr">
        <is>
          <t>靈魂解放者雙手斧</t>
        </is>
      </c>
      <c r="B15" s="9" t="n">
        <v>9</v>
      </c>
      <c r="C15" s="9" t="n">
        <v>18</v>
      </c>
      <c r="D15" s="9" t="n">
        <v>0</v>
      </c>
      <c r="E15" s="9" t="n">
        <v>45</v>
      </c>
      <c r="F15" s="9" t="n">
        <v>0</v>
      </c>
      <c r="G15" s="9" t="n">
        <v>9</v>
      </c>
      <c r="H15" s="9" t="n">
        <v>100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150</v>
      </c>
      <c r="N15" s="9" t="n">
        <v>0</v>
      </c>
      <c r="O15" s="9" t="n">
        <v>30</v>
      </c>
      <c r="P15" s="9" t="n">
        <v>0</v>
      </c>
      <c r="Q15" s="9" t="n">
        <v>0</v>
      </c>
      <c r="R15" s="9" t="n">
        <v>30</v>
      </c>
      <c r="S15" s="9" t="n">
        <v>0</v>
      </c>
      <c r="T15" s="9" t="n">
        <v>336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960</v>
      </c>
    </row>
    <row r="16">
      <c r="A16" s="2" t="inlineStr">
        <is>
          <t>靈魂解放者集魔杖</t>
        </is>
      </c>
      <c r="B16" s="9" t="n">
        <v>9</v>
      </c>
      <c r="C16" s="9" t="n">
        <v>18</v>
      </c>
      <c r="D16" s="9" t="n">
        <v>0</v>
      </c>
      <c r="E16" s="9" t="n">
        <v>45</v>
      </c>
      <c r="F16" s="9" t="n">
        <v>0</v>
      </c>
      <c r="G16" s="9" t="n">
        <v>9</v>
      </c>
      <c r="H16" s="9" t="n">
        <v>0</v>
      </c>
      <c r="I16" s="9" t="n">
        <v>0</v>
      </c>
      <c r="J16" s="9" t="n">
        <v>0</v>
      </c>
      <c r="K16" s="9" t="n">
        <v>100</v>
      </c>
      <c r="L16" s="9" t="n">
        <v>0</v>
      </c>
      <c r="M16" s="9" t="n">
        <v>150</v>
      </c>
      <c r="N16" s="9" t="n">
        <v>0</v>
      </c>
      <c r="O16" s="9" t="n">
        <v>0</v>
      </c>
      <c r="P16" s="9" t="n">
        <v>30</v>
      </c>
      <c r="Q16" s="9" t="n">
        <v>0</v>
      </c>
      <c r="R16" s="9" t="n">
        <v>30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336</v>
      </c>
      <c r="AB16" s="9" t="n">
        <v>0</v>
      </c>
      <c r="AC16" s="9" t="n">
        <v>960</v>
      </c>
    </row>
    <row r="17">
      <c r="A17" s="2" t="inlineStr">
        <is>
          <t>靈魂解放者騎槍</t>
        </is>
      </c>
      <c r="B17" s="9" t="n">
        <v>9</v>
      </c>
      <c r="C17" s="9" t="n">
        <v>18</v>
      </c>
      <c r="D17" s="9" t="n">
        <v>0</v>
      </c>
      <c r="E17" s="9" t="n">
        <v>45</v>
      </c>
      <c r="F17" s="9" t="n">
        <v>0</v>
      </c>
      <c r="G17" s="9" t="n">
        <v>9</v>
      </c>
      <c r="H17" s="9" t="n">
        <v>100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150</v>
      </c>
      <c r="N17" s="9" t="n">
        <v>0</v>
      </c>
      <c r="O17" s="9" t="n">
        <v>30</v>
      </c>
      <c r="P17" s="9" t="n">
        <v>0</v>
      </c>
      <c r="Q17" s="9" t="n">
        <v>0</v>
      </c>
      <c r="R17" s="9" t="n">
        <v>30</v>
      </c>
      <c r="S17" s="9" t="n">
        <v>0</v>
      </c>
      <c r="T17" s="9" t="n">
        <v>336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960</v>
      </c>
    </row>
    <row r="18">
      <c r="A18" s="2" t="inlineStr">
        <is>
          <t>靈魂解放者拳套</t>
        </is>
      </c>
      <c r="B18" s="9" t="n">
        <v>9</v>
      </c>
      <c r="C18" s="9" t="n">
        <v>18</v>
      </c>
      <c r="D18" s="9" t="n">
        <v>0</v>
      </c>
      <c r="E18" s="9" t="n">
        <v>45</v>
      </c>
      <c r="F18" s="9" t="n">
        <v>0</v>
      </c>
      <c r="G18" s="9" t="n">
        <v>9</v>
      </c>
      <c r="H18" s="9" t="n">
        <v>100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150</v>
      </c>
      <c r="N18" s="9" t="n">
        <v>0</v>
      </c>
      <c r="O18" s="9" t="n">
        <v>30</v>
      </c>
      <c r="P18" s="9" t="n">
        <v>0</v>
      </c>
      <c r="Q18" s="9" t="n">
        <v>0</v>
      </c>
      <c r="R18" s="9" t="n">
        <v>30</v>
      </c>
      <c r="S18" s="9" t="n">
        <v>0</v>
      </c>
      <c r="T18" s="9" t="n">
        <v>0</v>
      </c>
      <c r="U18" s="9" t="n">
        <v>336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960</v>
      </c>
    </row>
    <row r="19">
      <c r="A19" s="2" t="inlineStr">
        <is>
          <t>靈魂解放者雙槍</t>
        </is>
      </c>
      <c r="B19" s="9" t="n">
        <v>9</v>
      </c>
      <c r="C19" s="9" t="n">
        <v>18</v>
      </c>
      <c r="D19" s="9" t="n">
        <v>0</v>
      </c>
      <c r="E19" s="9" t="n">
        <v>45</v>
      </c>
      <c r="F19" s="9" t="n">
        <v>0</v>
      </c>
      <c r="G19" s="9" t="n">
        <v>9</v>
      </c>
      <c r="H19" s="9" t="n">
        <v>0</v>
      </c>
      <c r="I19" s="9" t="n">
        <v>100</v>
      </c>
      <c r="J19" s="9" t="n">
        <v>0</v>
      </c>
      <c r="K19" s="9" t="n">
        <v>0</v>
      </c>
      <c r="L19" s="9" t="n">
        <v>0</v>
      </c>
      <c r="M19" s="9" t="n">
        <v>150</v>
      </c>
      <c r="N19" s="9" t="n">
        <v>0</v>
      </c>
      <c r="O19" s="9" t="n">
        <v>30</v>
      </c>
      <c r="P19" s="9" t="n">
        <v>0</v>
      </c>
      <c r="Q19" s="9" t="n">
        <v>0</v>
      </c>
      <c r="R19" s="9" t="n">
        <v>30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336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960</v>
      </c>
    </row>
    <row r="20">
      <c r="A20" s="2" t="inlineStr">
        <is>
          <t>靈魂解放者手裏劍</t>
        </is>
      </c>
      <c r="B20" s="9" t="n">
        <v>9</v>
      </c>
      <c r="C20" s="9" t="n">
        <v>18</v>
      </c>
      <c r="D20" s="9" t="n">
        <v>0</v>
      </c>
      <c r="E20" s="9" t="n">
        <v>45</v>
      </c>
      <c r="F20" s="9" t="n">
        <v>0</v>
      </c>
      <c r="G20" s="9" t="n">
        <v>9</v>
      </c>
      <c r="H20" s="9" t="n">
        <v>100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150</v>
      </c>
      <c r="N20" s="9" t="n">
        <v>0</v>
      </c>
      <c r="O20" s="9" t="n">
        <v>0</v>
      </c>
      <c r="P20" s="9" t="n">
        <v>30</v>
      </c>
      <c r="Q20" s="9" t="n">
        <v>0</v>
      </c>
      <c r="R20" s="9" t="n">
        <v>30</v>
      </c>
      <c r="S20" s="9" t="n">
        <v>0</v>
      </c>
      <c r="T20" s="9" t="n">
        <v>0</v>
      </c>
      <c r="U20" s="9" t="n">
        <v>336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960</v>
      </c>
    </row>
    <row r="21">
      <c r="A21" s="2" t="inlineStr">
        <is>
          <t>靈魂解放者鎖鏈鐮刃</t>
        </is>
      </c>
      <c r="B21" s="9" t="n">
        <v>9</v>
      </c>
      <c r="C21" s="9" t="n">
        <v>18</v>
      </c>
      <c r="D21" s="9" t="n">
        <v>0</v>
      </c>
      <c r="E21" s="9" t="n">
        <v>45</v>
      </c>
      <c r="F21" s="9" t="n">
        <v>0</v>
      </c>
      <c r="G21" s="9" t="n">
        <v>9</v>
      </c>
      <c r="H21" s="9" t="n">
        <v>100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150</v>
      </c>
      <c r="N21" s="9" t="n">
        <v>0</v>
      </c>
      <c r="O21" s="9" t="n">
        <v>30</v>
      </c>
      <c r="P21" s="9" t="n">
        <v>0</v>
      </c>
      <c r="Q21" s="9" t="n">
        <v>0</v>
      </c>
      <c r="R21" s="9" t="n">
        <v>30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336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960</v>
      </c>
    </row>
    <row r="22">
      <c r="A22" s="2" t="inlineStr">
        <is>
          <t>靈魂解放者盾牌</t>
        </is>
      </c>
      <c r="B22" s="9" t="n">
        <v>4</v>
      </c>
      <c r="C22" s="9" t="n">
        <v>8</v>
      </c>
      <c r="D22" s="9" t="n">
        <v>0</v>
      </c>
      <c r="E22" s="9" t="n">
        <v>0</v>
      </c>
      <c r="F22" s="9" t="n">
        <v>15</v>
      </c>
      <c r="G22" s="9" t="n">
        <v>3</v>
      </c>
      <c r="H22" s="9" t="n">
        <v>0</v>
      </c>
      <c r="I22" s="9" t="n">
        <v>50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50</v>
      </c>
      <c r="O22" s="9" t="n">
        <v>0</v>
      </c>
      <c r="P22" s="9" t="n">
        <v>10</v>
      </c>
      <c r="Q22" s="9" t="n">
        <v>0</v>
      </c>
      <c r="R22" s="9" t="n">
        <v>10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168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480</v>
      </c>
    </row>
    <row r="23">
      <c r="A23" s="2" t="inlineStr">
        <is>
          <t>靈魂解放者戰士盾牌</t>
        </is>
      </c>
      <c r="B23" s="9" t="n">
        <v>4</v>
      </c>
      <c r="C23" s="9" t="n">
        <v>8</v>
      </c>
      <c r="D23" s="9" t="n">
        <v>0</v>
      </c>
      <c r="E23" s="9" t="n">
        <v>0</v>
      </c>
      <c r="F23" s="9" t="n">
        <v>15</v>
      </c>
      <c r="G23" s="9" t="n">
        <v>3</v>
      </c>
      <c r="H23" s="9" t="n">
        <v>0</v>
      </c>
      <c r="I23" s="9" t="n">
        <v>50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50</v>
      </c>
      <c r="O23" s="9" t="n">
        <v>10</v>
      </c>
      <c r="P23" s="9" t="n">
        <v>0</v>
      </c>
      <c r="Q23" s="9" t="n">
        <v>0</v>
      </c>
      <c r="R23" s="9" t="n">
        <v>10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168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480</v>
      </c>
    </row>
    <row r="24">
      <c r="A24" s="2" t="inlineStr">
        <is>
          <t>靈魂解放者永恆之箭</t>
        </is>
      </c>
      <c r="B24" s="9" t="n">
        <v>4</v>
      </c>
      <c r="C24" s="9" t="n">
        <v>8</v>
      </c>
      <c r="D24" s="9" t="n">
        <v>0</v>
      </c>
      <c r="E24" s="9" t="n">
        <v>0</v>
      </c>
      <c r="F24" s="9" t="n">
        <v>15</v>
      </c>
      <c r="G24" s="9" t="n">
        <v>3</v>
      </c>
      <c r="H24" s="9" t="n">
        <v>0</v>
      </c>
      <c r="I24" s="9" t="n">
        <v>50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50</v>
      </c>
      <c r="O24" s="9" t="n">
        <v>0</v>
      </c>
      <c r="P24" s="9" t="n">
        <v>0</v>
      </c>
      <c r="Q24" s="9" t="n">
        <v>10</v>
      </c>
      <c r="R24" s="9" t="n">
        <v>10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168</v>
      </c>
      <c r="AC24" s="9" t="n">
        <v>480</v>
      </c>
    </row>
    <row r="25">
      <c r="A25" s="2" t="inlineStr">
        <is>
          <t>靈魂解放者永恆弩箭</t>
        </is>
      </c>
      <c r="B25" s="9" t="n">
        <v>4</v>
      </c>
      <c r="C25" s="9" t="n">
        <v>8</v>
      </c>
      <c r="D25" s="9" t="n">
        <v>0</v>
      </c>
      <c r="E25" s="9" t="n">
        <v>0</v>
      </c>
      <c r="F25" s="9" t="n">
        <v>15</v>
      </c>
      <c r="G25" s="9" t="n">
        <v>3</v>
      </c>
      <c r="H25" s="9" t="n">
        <v>0</v>
      </c>
      <c r="I25" s="9" t="n">
        <v>50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50</v>
      </c>
      <c r="O25" s="9" t="n">
        <v>0</v>
      </c>
      <c r="P25" s="9" t="n">
        <v>0</v>
      </c>
      <c r="Q25" s="9" t="n">
        <v>10</v>
      </c>
      <c r="R25" s="9" t="n">
        <v>10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168</v>
      </c>
      <c r="AC25" s="9" t="n">
        <v>480</v>
      </c>
    </row>
    <row r="26">
      <c r="A26" s="2" t="inlineStr">
        <is>
          <t>靈魂解放者魔導書</t>
        </is>
      </c>
      <c r="B26" s="9" t="n">
        <v>4</v>
      </c>
      <c r="C26" s="9" t="n">
        <v>8</v>
      </c>
      <c r="D26" s="9" t="n">
        <v>0</v>
      </c>
      <c r="E26" s="9" t="n">
        <v>0</v>
      </c>
      <c r="F26" s="9" t="n">
        <v>15</v>
      </c>
      <c r="G26" s="9" t="n">
        <v>3</v>
      </c>
      <c r="H26" s="9" t="n">
        <v>0</v>
      </c>
      <c r="I26" s="9" t="n">
        <v>50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50</v>
      </c>
      <c r="O26" s="9" t="n">
        <v>0</v>
      </c>
      <c r="P26" s="9" t="n">
        <v>10</v>
      </c>
      <c r="Q26" s="9" t="n">
        <v>0</v>
      </c>
      <c r="R26" s="9" t="n">
        <v>10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168</v>
      </c>
      <c r="AB26" s="9" t="n">
        <v>0</v>
      </c>
      <c r="AC26" s="9" t="n">
        <v>480</v>
      </c>
    </row>
    <row r="27">
      <c r="A27" s="2" t="inlineStr">
        <is>
          <t>靈魂解放者盾牌鋼瓶</t>
        </is>
      </c>
      <c r="B27" s="9" t="n">
        <v>4</v>
      </c>
      <c r="C27" s="9" t="n">
        <v>8</v>
      </c>
      <c r="D27" s="9" t="n">
        <v>0</v>
      </c>
      <c r="E27" s="9" t="n">
        <v>0</v>
      </c>
      <c r="F27" s="9" t="n">
        <v>15</v>
      </c>
      <c r="G27" s="9" t="n">
        <v>3</v>
      </c>
      <c r="H27" s="9" t="n">
        <v>0</v>
      </c>
      <c r="I27" s="9" t="n">
        <v>50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50</v>
      </c>
      <c r="O27" s="9" t="n">
        <v>0</v>
      </c>
      <c r="P27" s="9" t="n">
        <v>10</v>
      </c>
      <c r="Q27" s="9" t="n">
        <v>0</v>
      </c>
      <c r="R27" s="9" t="n">
        <v>10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168</v>
      </c>
      <c r="AA27" s="9" t="n">
        <v>0</v>
      </c>
      <c r="AB27" s="9" t="n">
        <v>0</v>
      </c>
      <c r="AC27" s="9" t="n">
        <v>480</v>
      </c>
    </row>
    <row r="28">
      <c r="A28" s="2" t="inlineStr">
        <is>
          <t>靈魂解放者水晶球</t>
        </is>
      </c>
      <c r="B28" s="9" t="n">
        <v>4</v>
      </c>
      <c r="C28" s="9" t="n">
        <v>8</v>
      </c>
      <c r="D28" s="9" t="n">
        <v>0</v>
      </c>
      <c r="E28" s="9" t="n">
        <v>0</v>
      </c>
      <c r="F28" s="9" t="n">
        <v>15</v>
      </c>
      <c r="G28" s="9" t="n">
        <v>3</v>
      </c>
      <c r="H28" s="9" t="n">
        <v>0</v>
      </c>
      <c r="I28" s="9" t="n">
        <v>50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50</v>
      </c>
      <c r="O28" s="9" t="n">
        <v>0</v>
      </c>
      <c r="P28" s="9" t="n">
        <v>10</v>
      </c>
      <c r="Q28" s="9" t="n">
        <v>0</v>
      </c>
      <c r="R28" s="9" t="n">
        <v>10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168</v>
      </c>
      <c r="AB28" s="9" t="n">
        <v>0</v>
      </c>
      <c r="AC28" s="9" t="n">
        <v>480</v>
      </c>
    </row>
    <row r="29">
      <c r="A29" s="2" t="inlineStr">
        <is>
          <t>靈魂解放者小丑模型</t>
        </is>
      </c>
      <c r="B29" s="9" t="n">
        <v>4</v>
      </c>
      <c r="C29" s="9" t="n">
        <v>8</v>
      </c>
      <c r="D29" s="9" t="n">
        <v>0</v>
      </c>
      <c r="E29" s="9" t="n">
        <v>0</v>
      </c>
      <c r="F29" s="9" t="n">
        <v>15</v>
      </c>
      <c r="G29" s="9" t="n">
        <v>3</v>
      </c>
      <c r="H29" s="9" t="n">
        <v>0</v>
      </c>
      <c r="I29" s="9" t="n">
        <v>0</v>
      </c>
      <c r="J29" s="9" t="n">
        <v>50</v>
      </c>
      <c r="K29" s="9" t="n">
        <v>0</v>
      </c>
      <c r="L29" s="9" t="n">
        <v>0</v>
      </c>
      <c r="M29" s="9" t="n">
        <v>0</v>
      </c>
      <c r="N29" s="9" t="n">
        <v>50</v>
      </c>
      <c r="O29" s="9" t="n">
        <v>0</v>
      </c>
      <c r="P29" s="9" t="n">
        <v>0</v>
      </c>
      <c r="Q29" s="9" t="n">
        <v>10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168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480</v>
      </c>
    </row>
    <row r="30">
      <c r="A30" s="2" t="inlineStr">
        <is>
          <t>靈魂解放者巨像模型</t>
        </is>
      </c>
      <c r="B30" s="9" t="n">
        <v>4</v>
      </c>
      <c r="C30" s="9" t="n">
        <v>8</v>
      </c>
      <c r="D30" s="9" t="n">
        <v>0</v>
      </c>
      <c r="E30" s="9" t="n">
        <v>0</v>
      </c>
      <c r="F30" s="9" t="n">
        <v>15</v>
      </c>
      <c r="G30" s="9" t="n">
        <v>3</v>
      </c>
      <c r="H30" s="9" t="n">
        <v>0</v>
      </c>
      <c r="I30" s="9" t="n">
        <v>0</v>
      </c>
      <c r="J30" s="9" t="n">
        <v>50</v>
      </c>
      <c r="K30" s="9" t="n">
        <v>0</v>
      </c>
      <c r="L30" s="9" t="n">
        <v>0</v>
      </c>
      <c r="M30" s="9" t="n">
        <v>0</v>
      </c>
      <c r="N30" s="9" t="n">
        <v>50</v>
      </c>
      <c r="O30" s="9" t="n">
        <v>0</v>
      </c>
      <c r="P30" s="9" t="n">
        <v>0</v>
      </c>
      <c r="Q30" s="9" t="n">
        <v>10</v>
      </c>
      <c r="R30" s="9" t="n">
        <v>10</v>
      </c>
      <c r="S30" s="9" t="n">
        <v>0</v>
      </c>
      <c r="T30" s="9" t="n">
        <v>0</v>
      </c>
      <c r="U30" s="9" t="n">
        <v>0</v>
      </c>
      <c r="V30" s="9" t="n">
        <v>168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480</v>
      </c>
    </row>
    <row r="31">
      <c r="A31" s="2" t="inlineStr">
        <is>
          <t>靈魂解放者治癒魔杖</t>
        </is>
      </c>
      <c r="B31" s="9" t="n">
        <v>5</v>
      </c>
      <c r="C31" s="9" t="n">
        <v>10</v>
      </c>
      <c r="D31" s="9" t="n">
        <v>0</v>
      </c>
      <c r="E31" s="9" t="n">
        <v>30</v>
      </c>
      <c r="F31" s="9" t="n">
        <v>0</v>
      </c>
      <c r="G31" s="9" t="n">
        <v>6</v>
      </c>
      <c r="H31" s="9" t="n">
        <v>0</v>
      </c>
      <c r="I31" s="9" t="n">
        <v>0</v>
      </c>
      <c r="J31" s="9" t="n">
        <v>0</v>
      </c>
      <c r="K31" s="9" t="n">
        <v>50</v>
      </c>
      <c r="L31" s="9" t="n">
        <v>0</v>
      </c>
      <c r="M31" s="9" t="n">
        <v>100</v>
      </c>
      <c r="N31" s="9" t="n">
        <v>0</v>
      </c>
      <c r="O31" s="9" t="n">
        <v>0</v>
      </c>
      <c r="P31" s="9" t="n">
        <v>20</v>
      </c>
      <c r="Q31" s="9" t="n">
        <v>0</v>
      </c>
      <c r="R31" s="9" t="n">
        <v>20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168</v>
      </c>
      <c r="AB31" s="9" t="n">
        <v>0</v>
      </c>
      <c r="AC31" s="9" t="n">
        <v>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成員</t>
        </is>
      </c>
      <c r="B1" s="1" t="inlineStr">
        <is>
          <t>是否共產</t>
        </is>
      </c>
    </row>
    <row r="2">
      <c r="A2" s="2" t="inlineStr">
        <is>
          <t>破鳥</t>
        </is>
      </c>
      <c r="B2" s="9" t="inlineStr">
        <is>
          <t>是</t>
        </is>
      </c>
    </row>
    <row r="3">
      <c r="A3" s="2" t="inlineStr">
        <is>
          <t>大佐</t>
        </is>
      </c>
      <c r="B3" s="9" t="inlineStr">
        <is>
          <t>是</t>
        </is>
      </c>
    </row>
    <row r="4">
      <c r="A4" s="2" t="inlineStr">
        <is>
          <t>魔頭</t>
        </is>
      </c>
      <c r="B4" s="9" t="inlineStr">
        <is>
          <t>是</t>
        </is>
      </c>
    </row>
    <row r="5">
      <c r="A5" s="2" t="inlineStr">
        <is>
          <t>殘血</t>
        </is>
      </c>
      <c r="B5" s="9" t="inlineStr">
        <is>
          <t>是</t>
        </is>
      </c>
    </row>
    <row r="6">
      <c r="A6" s="2" t="inlineStr">
        <is>
          <t>小羊</t>
        </is>
      </c>
      <c r="B6" s="9" t="inlineStr">
        <is>
          <t>是</t>
        </is>
      </c>
    </row>
    <row r="7">
      <c r="A7" s="2" t="inlineStr">
        <is>
          <t>夏目</t>
        </is>
      </c>
      <c r="B7" s="9" t="inlineStr">
        <is>
          <t>是</t>
        </is>
      </c>
    </row>
  </sheetData>
  <dataValidations count="1">
    <dataValidation sqref="B2:B1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材料名稱</t>
        </is>
      </c>
    </row>
    <row r="2">
      <c r="A2" s="2" t="inlineStr">
        <is>
          <t>布里萊赫核心</t>
        </is>
      </c>
    </row>
    <row r="3">
      <c r="A3" s="2" t="inlineStr">
        <is>
          <t>布里萊赫精髓</t>
        </is>
      </c>
    </row>
    <row r="4">
      <c r="A4" s="2" t="inlineStr">
        <is>
          <t>橘光記憶碎片</t>
        </is>
      </c>
    </row>
    <row r="5">
      <c r="A5" s="2" t="inlineStr">
        <is>
          <t>綠光記憶碎片</t>
        </is>
      </c>
    </row>
    <row r="6">
      <c r="A6" s="2" t="inlineStr">
        <is>
          <t>黃光記憶碎片</t>
        </is>
      </c>
    </row>
    <row r="7">
      <c r="A7" s="2" t="inlineStr">
        <is>
          <t>蘊含布里萊赫氣息的徽章</t>
        </is>
      </c>
    </row>
    <row r="8">
      <c r="A8" s="2" t="inlineStr">
        <is>
          <t>鈍刃碎片</t>
        </is>
      </c>
    </row>
    <row r="9">
      <c r="A9" s="2" t="inlineStr">
        <is>
          <t>柔軟的金屬碎片</t>
        </is>
      </c>
    </row>
    <row r="10">
      <c r="A10" s="2" t="inlineStr">
        <is>
          <t>褪色的刺繡線</t>
        </is>
      </c>
    </row>
    <row r="11">
      <c r="A11" s="2" t="inlineStr">
        <is>
          <t>空的魔力石</t>
        </is>
      </c>
    </row>
    <row r="12">
      <c r="A12" s="2" t="inlineStr">
        <is>
          <t>霰石</t>
        </is>
      </c>
    </row>
    <row r="13">
      <c r="A13" s="2" t="inlineStr">
        <is>
          <t>透輝石</t>
        </is>
      </c>
    </row>
    <row r="14">
      <c r="A14" s="2" t="inlineStr">
        <is>
          <t>鵝卵石</t>
        </is>
      </c>
    </row>
    <row r="15">
      <c r="A15" s="2" t="inlineStr">
        <is>
          <t>奧妙的金屬碎片</t>
        </is>
      </c>
    </row>
    <row r="16">
      <c r="A16" s="2" t="inlineStr">
        <is>
          <t>奧妙的魔力石</t>
        </is>
      </c>
    </row>
    <row r="17">
      <c r="A17" s="2" t="inlineStr">
        <is>
          <t>奧妙的皮革碎片</t>
        </is>
      </c>
    </row>
    <row r="18">
      <c r="A18" s="2" t="inlineStr">
        <is>
          <t>高純度魔力結晶</t>
        </is>
      </c>
    </row>
    <row r="19">
      <c r="A19" s="2" t="inlineStr">
        <is>
          <t>綠意盎然的刀刃碎片</t>
        </is>
      </c>
    </row>
    <row r="20">
      <c r="A20" s="2" t="inlineStr">
        <is>
          <t>綠意盎然的金屬碎片</t>
        </is>
      </c>
    </row>
    <row r="21">
      <c r="A21" s="2" t="inlineStr">
        <is>
          <t>綠意盎然的礦石碎片</t>
        </is>
      </c>
    </row>
    <row r="22">
      <c r="A22" s="2" t="inlineStr">
        <is>
          <t>綠意盎然的木柴</t>
        </is>
      </c>
    </row>
    <row r="23">
      <c r="A23" s="2" t="inlineStr">
        <is>
          <t>堅硬的稀原礦石碎片</t>
        </is>
      </c>
    </row>
    <row r="24">
      <c r="A24" s="2" t="inlineStr">
        <is>
          <t>純白的皮革碎片</t>
        </is>
      </c>
    </row>
    <row r="25">
      <c r="A25" s="2" t="inlineStr">
        <is>
          <t>純白的羽毛</t>
        </is>
      </c>
    </row>
    <row r="26">
      <c r="A26" s="2" t="inlineStr">
        <is>
          <t>透明的鍊金術結晶</t>
        </is>
      </c>
    </row>
    <row r="27">
      <c r="A27" s="2" t="inlineStr">
        <is>
          <t>綠意盎然的法師的寶石</t>
        </is>
      </c>
    </row>
    <row r="28">
      <c r="A28" s="2" t="inlineStr">
        <is>
          <t>堅硬的狼牙</t>
        </is>
      </c>
    </row>
    <row r="29">
      <c r="A29" s="2" t="inlineStr">
        <is>
          <t>魔力石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2026-04-17T03:32:42Z</dcterms:created>
  <dcterms:modified xsi:type="dcterms:W3CDTF">2026-04-17T03:32:42Z</dcterms:modified>
</cp:coreProperties>
</file>